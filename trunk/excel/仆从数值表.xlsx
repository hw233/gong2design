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autoCompressPictures="0"/>
  <bookViews>
    <workbookView xWindow="3195" yWindow="-105" windowWidth="22845" windowHeight="16440" activeTab="2"/>
  </bookViews>
  <sheets>
    <sheet name="主角升级表" sheetId="1" r:id="rId1"/>
    <sheet name="升级经验惩罚" sheetId="2" r:id="rId2"/>
    <sheet name="仆从属性表" sheetId="3" r:id="rId3"/>
    <sheet name="仆从升阶表" sheetId="5" r:id="rId4"/>
    <sheet name="Sheet1" sheetId="4" r:id="rId5"/>
  </sheets>
  <calcPr calcId="14562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2" i="3" l="1"/>
  <c r="H23" i="3"/>
  <c r="H24" i="3"/>
  <c r="H26" i="3"/>
  <c r="H30" i="3" s="1"/>
  <c r="H34" i="3" s="1"/>
  <c r="H38" i="3" s="1"/>
  <c r="H42" i="3" s="1"/>
  <c r="H46" i="3" s="1"/>
  <c r="H27" i="3"/>
  <c r="H28" i="3"/>
  <c r="H32" i="3" s="1"/>
  <c r="H36" i="3" s="1"/>
  <c r="H40" i="3" s="1"/>
  <c r="H44" i="3" s="1"/>
  <c r="H48" i="3" s="1"/>
  <c r="H31" i="3"/>
  <c r="H35" i="3"/>
  <c r="H39" i="3" s="1"/>
  <c r="H43" i="3" s="1"/>
  <c r="H47" i="3" s="1"/>
  <c r="H21" i="3"/>
  <c r="H25" i="3" s="1"/>
  <c r="H29" i="3" s="1"/>
  <c r="H33" i="3" s="1"/>
  <c r="H37" i="3" s="1"/>
  <c r="H41" i="3" s="1"/>
  <c r="H45" i="3" s="1"/>
  <c r="H49" i="3" s="1"/>
  <c r="E24" i="3"/>
  <c r="E26" i="3"/>
  <c r="E28" i="3" s="1"/>
  <c r="E30" i="3" s="1"/>
  <c r="E32" i="3" s="1"/>
  <c r="E34" i="3" s="1"/>
  <c r="E36" i="3" s="1"/>
  <c r="E38" i="3" s="1"/>
  <c r="E40" i="3" s="1"/>
  <c r="E42" i="3" s="1"/>
  <c r="E44" i="3" s="1"/>
  <c r="E46" i="3" s="1"/>
  <c r="E48" i="3" s="1"/>
  <c r="E23" i="3"/>
  <c r="E25" i="3" s="1"/>
  <c r="E27" i="3" s="1"/>
  <c r="E29" i="3" s="1"/>
  <c r="E31" i="3" s="1"/>
  <c r="E33" i="3" s="1"/>
  <c r="E35" i="3" s="1"/>
  <c r="E37" i="3" s="1"/>
  <c r="E39" i="3" s="1"/>
  <c r="E41" i="3" s="1"/>
  <c r="E43" i="3" s="1"/>
  <c r="E45" i="3" s="1"/>
  <c r="E47" i="3" s="1"/>
  <c r="E49" i="3" s="1"/>
</calcChain>
</file>

<file path=xl/comments1.xml><?xml version="1.0" encoding="utf-8"?>
<comments xmlns="http://schemas.openxmlformats.org/spreadsheetml/2006/main">
  <authors>
    <author>作者</author>
    <author>admin</author>
  </authors>
  <commentList>
    <comment ref="C3" author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1=侍卫
</t>
        </r>
        <r>
          <rPr>
            <sz val="9"/>
            <rFont val="宋体"/>
            <family val="3"/>
            <charset val="134"/>
          </rPr>
          <t xml:space="preserve">2=御厨
</t>
        </r>
        <r>
          <rPr>
            <sz val="9"/>
            <rFont val="宋体"/>
            <family val="3"/>
            <charset val="134"/>
          </rPr>
          <t xml:space="preserve">3=太医
</t>
        </r>
        <r>
          <rPr>
            <sz val="9"/>
            <rFont val="宋体"/>
            <family val="3"/>
            <charset val="134"/>
          </rPr>
          <t xml:space="preserve">4=学士
</t>
        </r>
        <r>
          <rPr>
            <sz val="9"/>
            <rFont val="宋体"/>
            <family val="3"/>
            <charset val="134"/>
          </rPr>
          <t>5=画师</t>
        </r>
      </text>
    </comment>
    <comment ref="D3" author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1=玩家转职职业
</t>
        </r>
        <r>
          <rPr>
            <sz val="9"/>
            <rFont val="宋体"/>
            <family val="3"/>
            <charset val="134"/>
          </rPr>
          <t>2=仆从</t>
        </r>
      </text>
    </comment>
    <comment ref="E3" authorId="1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1：物理
2：法术</t>
        </r>
      </text>
    </comment>
    <comment ref="B9" author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I=数字
</t>
        </r>
        <r>
          <rPr>
            <sz val="9"/>
            <rFont val="宋体"/>
            <family val="3"/>
            <charset val="134"/>
          </rPr>
          <t xml:space="preserve">S=字符串
</t>
        </r>
        <r>
          <rPr>
            <sz val="9"/>
            <rFont val="宋体"/>
            <family val="3"/>
            <charset val="134"/>
          </rPr>
          <t xml:space="preserve">E=数组
</t>
        </r>
        <r>
          <rPr>
            <sz val="9"/>
            <rFont val="宋体"/>
            <family val="3"/>
            <charset val="134"/>
          </rPr>
          <t>F=浮点数</t>
        </r>
      </text>
    </comment>
    <comment ref="B10" author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c=客户端
</t>
        </r>
        <r>
          <rPr>
            <sz val="9"/>
            <rFont val="宋体"/>
            <family val="3"/>
            <charset val="134"/>
          </rPr>
          <t>s=服务端</t>
        </r>
      </text>
    </comment>
  </commentList>
</comments>
</file>

<file path=xl/sharedStrings.xml><?xml version="1.0" encoding="utf-8"?>
<sst xmlns="http://schemas.openxmlformats.org/spreadsheetml/2006/main" count="538" uniqueCount="242">
  <si>
    <t>交互检查规则</t>
  </si>
  <si>
    <t>导出规则</t>
  </si>
  <si>
    <t>分类</t>
  </si>
  <si>
    <t>表头</t>
  </si>
  <si>
    <t>等级</t>
  </si>
  <si>
    <t>升级所需经验</t>
  </si>
  <si>
    <t>对应上阵人数</t>
  </si>
  <si>
    <t>升级奖励银两</t>
  </si>
  <si>
    <t>升级奖励道具</t>
  </si>
  <si>
    <t>道具数量</t>
  </si>
  <si>
    <t>关键字标识</t>
  </si>
  <si>
    <t>Y</t>
  </si>
  <si>
    <t/>
  </si>
  <si>
    <t>唯一标识</t>
  </si>
  <si>
    <t>非空标识</t>
  </si>
  <si>
    <t>检查规则</t>
  </si>
  <si>
    <t>#eref(物品总表,id)</t>
  </si>
  <si>
    <t>变量名称</t>
  </si>
  <si>
    <t>lv</t>
  </si>
  <si>
    <t>upExp</t>
  </si>
  <si>
    <t>upCz</t>
  </si>
  <si>
    <t>rewardMoney</t>
  </si>
  <si>
    <t>item</t>
  </si>
  <si>
    <t>num</t>
  </si>
  <si>
    <t>变量类型</t>
  </si>
  <si>
    <t>I</t>
  </si>
  <si>
    <t>E</t>
  </si>
  <si>
    <t>变量空间</t>
  </si>
  <si>
    <t>cs</t>
  </si>
  <si>
    <t>s</t>
  </si>
  <si>
    <t>BEGIN</t>
  </si>
  <si>
    <t>主角升级表</t>
  </si>
  <si>
    <t>exp_lv_data</t>
  </si>
  <si>
    <t>等级差间距</t>
  </si>
  <si>
    <t>惩罚比例</t>
  </si>
  <si>
    <t>id</t>
  </si>
  <si>
    <t>punishExp</t>
  </si>
  <si>
    <t>F</t>
  </si>
  <si>
    <t>升级经验惩罚</t>
  </si>
  <si>
    <t>exp_punish_data</t>
  </si>
  <si>
    <t>(1,9,)</t>
  </si>
  <si>
    <t>(10,80,)</t>
  </si>
  <si>
    <t>编号</t>
  </si>
  <si>
    <t>职业名</t>
  </si>
  <si>
    <t>类型</t>
  </si>
  <si>
    <t>图标</t>
  </si>
  <si>
    <t>形象</t>
  </si>
  <si>
    <t>职业类型</t>
  </si>
  <si>
    <t>初始防御</t>
  </si>
  <si>
    <t>初始法防</t>
  </si>
  <si>
    <t>初始生命</t>
  </si>
  <si>
    <t>攻击成长</t>
  </si>
  <si>
    <t>防御成长</t>
  </si>
  <si>
    <t>法防成长</t>
  </si>
  <si>
    <t>生命成长</t>
  </si>
  <si>
    <t>技能1</t>
  </si>
  <si>
    <t>name</t>
  </si>
  <si>
    <t>type</t>
  </si>
  <si>
    <t>icon</t>
  </si>
  <si>
    <t>image</t>
  </si>
  <si>
    <t>job</t>
  </si>
  <si>
    <t>basAtk</t>
  </si>
  <si>
    <t>basDef</t>
  </si>
  <si>
    <t>basDpower</t>
  </si>
  <si>
    <t>basHp</t>
  </si>
  <si>
    <t>basCri</t>
  </si>
  <si>
    <t>basDcri</t>
  </si>
  <si>
    <t>basFocus</t>
  </si>
  <si>
    <t>skill</t>
  </si>
  <si>
    <t>S</t>
  </si>
  <si>
    <t>c</t>
  </si>
  <si>
    <t>仆从属性表</t>
  </si>
  <si>
    <t>servant_data</t>
  </si>
  <si>
    <t>初始物攻</t>
    <phoneticPr fontId="2" type="noConversion"/>
  </si>
  <si>
    <t>初始怒气</t>
    <phoneticPr fontId="2" type="noConversion"/>
  </si>
  <si>
    <t>basCp</t>
    <phoneticPr fontId="2" type="noConversion"/>
  </si>
  <si>
    <t>女主</t>
    <phoneticPr fontId="2" type="noConversion"/>
  </si>
  <si>
    <t>男主</t>
    <phoneticPr fontId="2" type="noConversion"/>
  </si>
  <si>
    <t>女主角</t>
    <phoneticPr fontId="2" type="noConversion"/>
  </si>
  <si>
    <t>男主角</t>
    <phoneticPr fontId="2" type="noConversion"/>
  </si>
  <si>
    <t>atkLv</t>
    <phoneticPr fontId="2" type="noConversion"/>
  </si>
  <si>
    <t>defLv</t>
    <phoneticPr fontId="2" type="noConversion"/>
  </si>
  <si>
    <t>dpowerLv</t>
    <phoneticPr fontId="2" type="noConversion"/>
  </si>
  <si>
    <t>hpLv</t>
    <phoneticPr fontId="2" type="noConversion"/>
  </si>
  <si>
    <t>基础攻击百分比</t>
  </si>
  <si>
    <t>基础物防百分比</t>
  </si>
  <si>
    <t>基础法防百分比</t>
  </si>
  <si>
    <t>基础生命百分比</t>
  </si>
  <si>
    <t>基础暴击率</t>
  </si>
  <si>
    <t>基础抗暴率</t>
  </si>
  <si>
    <t>基础暴击伤害百分比</t>
  </si>
  <si>
    <t>基础无视格挡率</t>
  </si>
  <si>
    <t>基础格挡率</t>
  </si>
  <si>
    <t>基础格挡伤害百分比</t>
  </si>
  <si>
    <t>基础无视防御百分比</t>
  </si>
  <si>
    <t>基础增伤百分比</t>
  </si>
  <si>
    <t>基础减伤百分比</t>
  </si>
  <si>
    <t>基础增伤值</t>
    <phoneticPr fontId="2" type="noConversion"/>
  </si>
  <si>
    <t>基础减伤值</t>
    <phoneticPr fontId="2" type="noConversion"/>
  </si>
  <si>
    <t>basPreAtk</t>
  </si>
  <si>
    <t>basPreDef</t>
  </si>
  <si>
    <t>basPreDpower</t>
  </si>
  <si>
    <t>basPreHp</t>
  </si>
  <si>
    <t>basDparry</t>
  </si>
  <si>
    <t>basParry</t>
    <phoneticPr fontId="2" type="noConversion"/>
  </si>
  <si>
    <t>basTen</t>
    <phoneticPr fontId="2" type="noConversion"/>
  </si>
  <si>
    <t>basPen</t>
  </si>
  <si>
    <t>basDeHIT</t>
  </si>
  <si>
    <t>basEahit</t>
  </si>
  <si>
    <t>basPreDeepen</t>
  </si>
  <si>
    <t>basPreEase</t>
  </si>
  <si>
    <t>basParry</t>
  </si>
  <si>
    <t>basTen</t>
  </si>
  <si>
    <t>basPreHp</t>
    <phoneticPr fontId="2" type="noConversion"/>
  </si>
  <si>
    <t>防御战士</t>
    <phoneticPr fontId="3" type="noConversion"/>
  </si>
  <si>
    <t>武器战士</t>
    <phoneticPr fontId="3" type="noConversion"/>
  </si>
  <si>
    <t>射手</t>
    <phoneticPr fontId="3" type="noConversion"/>
  </si>
  <si>
    <t>控制法师</t>
    <phoneticPr fontId="3" type="noConversion"/>
  </si>
  <si>
    <t>暴力法师</t>
    <phoneticPr fontId="3" type="noConversion"/>
  </si>
  <si>
    <t>辅助</t>
    <phoneticPr fontId="3" type="noConversion"/>
  </si>
  <si>
    <t>属性类型</t>
    <phoneticPr fontId="2" type="noConversion"/>
  </si>
  <si>
    <t>I</t>
    <phoneticPr fontId="2" type="noConversion"/>
  </si>
  <si>
    <t>propType</t>
    <phoneticPr fontId="2" type="noConversion"/>
  </si>
  <si>
    <t>装备</t>
    <phoneticPr fontId="2" type="noConversion"/>
  </si>
  <si>
    <t>equip</t>
    <phoneticPr fontId="2" type="noConversion"/>
  </si>
  <si>
    <t>(70000,70002,)</t>
  </si>
  <si>
    <t>(70001,70003,)</t>
  </si>
  <si>
    <t>(70000,70017,)</t>
  </si>
  <si>
    <t>(70000,70016,)</t>
  </si>
  <si>
    <t>(70000,70010,)</t>
  </si>
  <si>
    <t>(70000,70009,)</t>
  </si>
  <si>
    <t>(70000,70007,)</t>
  </si>
  <si>
    <t>(70000,70013,)</t>
  </si>
  <si>
    <t>(10004,10005,10006,10007,)</t>
  </si>
  <si>
    <t>(10008,10009,10010,10011,)</t>
    <phoneticPr fontId="2" type="noConversion"/>
  </si>
  <si>
    <t>(10012,10013,10014,10015,)</t>
    <phoneticPr fontId="2" type="noConversion"/>
  </si>
  <si>
    <t>仆从升级经验</t>
    <phoneticPr fontId="2" type="noConversion"/>
  </si>
  <si>
    <t>upServantExp</t>
  </si>
  <si>
    <t>进阶等级</t>
    <phoneticPr fontId="2" type="noConversion"/>
  </si>
  <si>
    <t>进阶属性类型</t>
    <phoneticPr fontId="2" type="noConversion"/>
  </si>
  <si>
    <t>进阶属性值</t>
    <phoneticPr fontId="2" type="noConversion"/>
  </si>
  <si>
    <t>进阶解锁属性值</t>
    <phoneticPr fontId="2" type="noConversion"/>
  </si>
  <si>
    <t>进阶所需道具类型</t>
    <phoneticPr fontId="2" type="noConversion"/>
  </si>
  <si>
    <t>进阶所需道具值</t>
    <phoneticPr fontId="2" type="noConversion"/>
  </si>
  <si>
    <t>进阶消耗碎片数量</t>
    <phoneticPr fontId="2" type="noConversion"/>
  </si>
  <si>
    <t>E</t>
    <phoneticPr fontId="2" type="noConversion"/>
  </si>
  <si>
    <t>(10000,10001,10002,10003,)</t>
    <phoneticPr fontId="2" type="noConversion"/>
  </si>
  <si>
    <t>(10000,10001,10002,10003,)</t>
    <phoneticPr fontId="2" type="noConversion"/>
  </si>
  <si>
    <t>cs</t>
    <phoneticPr fontId="2" type="noConversion"/>
  </si>
  <si>
    <t>cs</t>
    <phoneticPr fontId="2" type="noConversion"/>
  </si>
  <si>
    <t>E</t>
    <phoneticPr fontId="2" type="noConversion"/>
  </si>
  <si>
    <t>I</t>
    <phoneticPr fontId="2" type="noConversion"/>
  </si>
  <si>
    <t>propkind</t>
    <phoneticPr fontId="2" type="noConversion"/>
  </si>
  <si>
    <t>propnum</t>
    <phoneticPr fontId="2" type="noConversion"/>
  </si>
  <si>
    <t>propunlock</t>
    <phoneticPr fontId="2" type="noConversion"/>
  </si>
  <si>
    <t>propunlocknum</t>
    <phoneticPr fontId="2" type="noConversion"/>
  </si>
  <si>
    <t>item</t>
    <phoneticPr fontId="2" type="noConversion"/>
  </si>
  <si>
    <t>itemnum</t>
    <phoneticPr fontId="2" type="noConversion"/>
  </si>
  <si>
    <t>piece</t>
    <phoneticPr fontId="2" type="noConversion"/>
  </si>
  <si>
    <t>piecenum</t>
    <phoneticPr fontId="2" type="noConversion"/>
  </si>
  <si>
    <t>进阶等级条件</t>
    <phoneticPr fontId="2" type="noConversion"/>
  </si>
  <si>
    <t>(140,84,84,1120,)</t>
  </si>
  <si>
    <t>(298,179,179,2385,)</t>
  </si>
  <si>
    <t>(474,285,285,3795,)</t>
  </si>
  <si>
    <t>(668,402,402,5349,)</t>
  </si>
  <si>
    <t>(880,529,529,7048,)</t>
  </si>
  <si>
    <t>(1110,667,667,8892,)</t>
  </si>
  <si>
    <t>(1359,816,816,10881,)</t>
  </si>
  <si>
    <t>(1626,976,976,13014,)</t>
  </si>
  <si>
    <t>(1911,1147,1147,15292,)</t>
  </si>
  <si>
    <t>(2214,1329,1329,17715,)</t>
  </si>
  <si>
    <t>(2535,1522,1522,20283,)</t>
  </si>
  <si>
    <t>(2874,1725,1725,22995,)</t>
  </si>
  <si>
    <t>(3231,1939,1939,25852,)</t>
  </si>
  <si>
    <t>(3606,2164,2164,28854,)</t>
  </si>
  <si>
    <t>(3999,2400,2400,32001,)</t>
  </si>
  <si>
    <t>(20,)</t>
  </si>
  <si>
    <t>(30,)</t>
  </si>
  <si>
    <t>(40,)</t>
  </si>
  <si>
    <t>(60,)</t>
  </si>
  <si>
    <t>(70,)</t>
  </si>
  <si>
    <t>(80,)</t>
  </si>
  <si>
    <t>(100,)</t>
  </si>
  <si>
    <t>(130,)</t>
  </si>
  <si>
    <t>(160,)</t>
  </si>
  <si>
    <t>(360,)</t>
  </si>
  <si>
    <t>(600,)</t>
  </si>
  <si>
    <t>(880,)</t>
  </si>
  <si>
    <t>(1200,)</t>
  </si>
  <si>
    <t>(1560,)</t>
  </si>
  <si>
    <t>(1960,)</t>
  </si>
  <si>
    <t>(2400,)</t>
  </si>
  <si>
    <t>(2880,)</t>
  </si>
  <si>
    <t>(3400,)</t>
  </si>
  <si>
    <t>(3960,)</t>
  </si>
  <si>
    <t>(4560,)</t>
  </si>
  <si>
    <t>(5200,)</t>
  </si>
  <si>
    <t>(0,)</t>
  </si>
  <si>
    <t>(190,)</t>
  </si>
  <si>
    <t>(240,)</t>
  </si>
  <si>
    <t>(290,)</t>
  </si>
  <si>
    <t>(340,)</t>
  </si>
  <si>
    <t>lvcondition</t>
    <phoneticPr fontId="2" type="noConversion"/>
  </si>
  <si>
    <t>唐伯虎</t>
  </si>
  <si>
    <t>荆轲</t>
  </si>
  <si>
    <t>花木兰</t>
  </si>
  <si>
    <t>红拂女</t>
  </si>
  <si>
    <t>李白</t>
  </si>
  <si>
    <t>武媚娘</t>
  </si>
  <si>
    <t>嬴政</t>
  </si>
  <si>
    <t>孙思邈</t>
  </si>
  <si>
    <t>貂蝉</t>
  </si>
  <si>
    <t>凤皇</t>
  </si>
  <si>
    <t>高长恭</t>
  </si>
  <si>
    <t>韩子高</t>
  </si>
  <si>
    <t>大玉儿</t>
  </si>
  <si>
    <t>孙悟空</t>
  </si>
  <si>
    <t>白骨夫人</t>
  </si>
  <si>
    <t>孔明</t>
  </si>
  <si>
    <t>钟无艳</t>
  </si>
  <si>
    <t>飞燕</t>
  </si>
  <si>
    <t>合德</t>
  </si>
  <si>
    <t>李耳</t>
  </si>
  <si>
    <t>逍遥</t>
  </si>
  <si>
    <t>鱼玄机</t>
  </si>
  <si>
    <t>卓文君</t>
  </si>
  <si>
    <t>公孙大娘</t>
  </si>
  <si>
    <t>姬熙来</t>
  </si>
  <si>
    <t>南歌</t>
  </si>
  <si>
    <t>清衡</t>
  </si>
  <si>
    <t>洗砚</t>
  </si>
  <si>
    <t>承影</t>
  </si>
  <si>
    <t>BEGIN</t>
    <phoneticPr fontId="2" type="noConversion"/>
  </si>
  <si>
    <t>servant_advance_data</t>
    <phoneticPr fontId="2" type="noConversion"/>
  </si>
  <si>
    <t>仆从进阶表</t>
    <phoneticPr fontId="2" type="noConversion"/>
  </si>
  <si>
    <t>进阶解锁属性类型</t>
    <phoneticPr fontId="2" type="noConversion"/>
  </si>
  <si>
    <t>(10045,10046,10047,10048,)</t>
  </si>
  <si>
    <t>(10055,)</t>
  </si>
  <si>
    <t>(0.1,)</t>
  </si>
  <si>
    <t>(7,)</t>
  </si>
  <si>
    <t>(10012,10013,10014,10015,)</t>
  </si>
  <si>
    <t>碎片道具ID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</si>
</sst>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_ "/>
  </numFmts>
  <fonts count="15" x14ac:knownFonts="1">
    <font>
      <sz val="11"/>
      <color theme="1"/>
      <name val="宋体"/>
      <family val="2"/>
      <charset val="134"/>
      <scheme val="minor"/>
    </font>
    <font>
      <sz val="9"/>
      <color theme="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rgb="FFC00000"/>
      <name val="宋体"/>
      <family val="3"/>
      <charset val="134"/>
      <scheme val="minor"/>
    </font>
    <font>
      <sz val="9"/>
      <color theme="5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49" fontId="3" fillId="3" borderId="2" xfId="0" applyNumberFormat="1" applyFont="1" applyFill="1" applyBorder="1" applyAlignment="1">
      <alignment horizontal="center" vertical="center"/>
    </xf>
    <xf numFmtId="0" fontId="0" fillId="0" borderId="0" xfId="0" applyAlignment="1"/>
    <xf numFmtId="0" fontId="1" fillId="3" borderId="2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5" fillId="6" borderId="3" xfId="0" applyNumberFormat="1" applyFont="1" applyFill="1" applyBorder="1" applyAlignment="1">
      <alignment horizontal="center"/>
    </xf>
    <xf numFmtId="49" fontId="6" fillId="5" borderId="3" xfId="0" applyNumberFormat="1" applyFont="1" applyFill="1" applyBorder="1" applyAlignment="1">
      <alignment horizontal="center" textRotation="255"/>
    </xf>
    <xf numFmtId="49" fontId="7" fillId="5" borderId="3" xfId="0" applyNumberFormat="1" applyFont="1" applyFill="1" applyBorder="1" applyAlignment="1">
      <alignment horizontal="center" textRotation="255"/>
    </xf>
    <xf numFmtId="49" fontId="5" fillId="6" borderId="3" xfId="0" applyNumberFormat="1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49" fontId="8" fillId="6" borderId="3" xfId="0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5" fillId="5" borderId="3" xfId="0" applyNumberFormat="1" applyFont="1" applyFill="1" applyBorder="1" applyAlignment="1">
      <alignment horizontal="center" vertical="center"/>
    </xf>
    <xf numFmtId="0" fontId="5" fillId="5" borderId="3" xfId="0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11" borderId="3" xfId="0" applyNumberFormat="1" applyFont="1" applyFill="1" applyBorder="1" applyAlignment="1">
      <alignment horizontal="center" vertical="center"/>
    </xf>
    <xf numFmtId="0" fontId="12" fillId="0" borderId="0" xfId="0" applyFont="1" applyAlignment="1"/>
    <xf numFmtId="176" fontId="0" fillId="0" borderId="0" xfId="0" applyNumberFormat="1">
      <alignment vertical="center"/>
    </xf>
    <xf numFmtId="0" fontId="0" fillId="12" borderId="3" xfId="0" applyFill="1" applyBorder="1" applyAlignment="1">
      <alignment horizontal="center"/>
    </xf>
    <xf numFmtId="0" fontId="0" fillId="0" borderId="3" xfId="0" applyBorder="1" applyAlignment="1"/>
    <xf numFmtId="49" fontId="1" fillId="2" borderId="2" xfId="0" applyNumberFormat="1" applyFont="1" applyFill="1" applyBorder="1" applyAlignment="1">
      <alignment horizontal="center" vertical="center"/>
    </xf>
    <xf numFmtId="0" fontId="12" fillId="11" borderId="0" xfId="0" applyFont="1" applyFill="1" applyBorder="1" applyAlignment="1"/>
    <xf numFmtId="49" fontId="1" fillId="2" borderId="2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2"/>
  <sheetViews>
    <sheetView topLeftCell="A46" workbookViewId="0">
      <selection sqref="A1:XFD11"/>
    </sheetView>
  </sheetViews>
  <sheetFormatPr defaultColWidth="8.875" defaultRowHeight="13.5" x14ac:dyDescent="0.15"/>
  <cols>
    <col min="3" max="4" width="8.875" style="16"/>
  </cols>
  <sheetData>
    <row r="1" spans="1:16" s="2" customFormat="1" x14ac:dyDescent="0.15">
      <c r="A1" s="35" t="s">
        <v>0</v>
      </c>
      <c r="B1" s="36"/>
      <c r="C1" s="36"/>
      <c r="D1" s="30"/>
      <c r="E1" s="1"/>
    </row>
    <row r="2" spans="1:16" s="2" customFormat="1" x14ac:dyDescent="0.15">
      <c r="A2" s="35" t="s">
        <v>1</v>
      </c>
      <c r="B2" s="36"/>
      <c r="C2" s="36"/>
      <c r="D2" s="30"/>
      <c r="E2" s="3"/>
    </row>
    <row r="3" spans="1:16" s="2" customFormat="1" x14ac:dyDescent="0.15">
      <c r="A3" s="4" t="s">
        <v>2</v>
      </c>
      <c r="B3" s="37"/>
      <c r="C3" s="37"/>
      <c r="D3" s="37"/>
      <c r="E3" s="37"/>
    </row>
    <row r="4" spans="1:16" s="2" customFormat="1" ht="69" x14ac:dyDescent="0.15">
      <c r="A4" s="5" t="s">
        <v>3</v>
      </c>
      <c r="B4" s="6" t="s">
        <v>4</v>
      </c>
      <c r="C4" s="6" t="s">
        <v>5</v>
      </c>
      <c r="D4" s="6" t="s">
        <v>136</v>
      </c>
      <c r="E4" s="7" t="s">
        <v>6</v>
      </c>
      <c r="F4" s="7" t="s">
        <v>7</v>
      </c>
      <c r="G4" s="7" t="s">
        <v>8</v>
      </c>
      <c r="H4" s="7" t="s">
        <v>9</v>
      </c>
    </row>
    <row r="5" spans="1:16" s="2" customFormat="1" x14ac:dyDescent="0.15">
      <c r="A5" s="8" t="s">
        <v>10</v>
      </c>
      <c r="B5" s="9" t="s">
        <v>11</v>
      </c>
      <c r="C5" s="9" t="s">
        <v>12</v>
      </c>
      <c r="D5" s="9"/>
      <c r="E5" s="9"/>
      <c r="F5" s="9" t="s">
        <v>12</v>
      </c>
      <c r="G5" s="9"/>
      <c r="H5" s="9"/>
    </row>
    <row r="6" spans="1:16" s="2" customFormat="1" x14ac:dyDescent="0.15">
      <c r="A6" s="10" t="s">
        <v>13</v>
      </c>
      <c r="B6" s="9" t="s">
        <v>11</v>
      </c>
      <c r="C6" s="9" t="s">
        <v>12</v>
      </c>
      <c r="D6" s="9"/>
      <c r="E6" s="9"/>
      <c r="F6" s="9" t="s">
        <v>12</v>
      </c>
      <c r="G6" s="9"/>
      <c r="H6" s="9"/>
    </row>
    <row r="7" spans="1:16" s="2" customFormat="1" x14ac:dyDescent="0.15">
      <c r="A7" s="8" t="s">
        <v>14</v>
      </c>
      <c r="B7" s="9" t="s">
        <v>11</v>
      </c>
      <c r="C7" s="9" t="s">
        <v>11</v>
      </c>
      <c r="D7" s="9"/>
      <c r="E7" s="9"/>
      <c r="F7" s="9"/>
      <c r="G7" s="9"/>
      <c r="H7" s="9"/>
    </row>
    <row r="8" spans="1:16" s="2" customFormat="1" x14ac:dyDescent="0.15">
      <c r="A8" s="10" t="s">
        <v>15</v>
      </c>
      <c r="B8" s="9"/>
      <c r="C8" s="9"/>
      <c r="D8" s="9"/>
      <c r="E8" s="9"/>
      <c r="F8" s="9"/>
      <c r="G8" s="9" t="s">
        <v>16</v>
      </c>
      <c r="H8" s="9"/>
    </row>
    <row r="9" spans="1:16" s="2" customFormat="1" x14ac:dyDescent="0.15">
      <c r="A9" s="8" t="s">
        <v>17</v>
      </c>
      <c r="B9" s="9" t="s">
        <v>18</v>
      </c>
      <c r="C9" s="9" t="s">
        <v>19</v>
      </c>
      <c r="D9" s="9" t="s">
        <v>137</v>
      </c>
      <c r="E9" s="9" t="s">
        <v>20</v>
      </c>
      <c r="F9" s="9" t="s">
        <v>21</v>
      </c>
      <c r="G9" s="9" t="s">
        <v>22</v>
      </c>
      <c r="H9" s="9" t="s">
        <v>23</v>
      </c>
    </row>
    <row r="10" spans="1:16" s="2" customFormat="1" x14ac:dyDescent="0.15">
      <c r="A10" s="10" t="s">
        <v>24</v>
      </c>
      <c r="B10" s="9" t="s">
        <v>25</v>
      </c>
      <c r="C10" s="9" t="s">
        <v>25</v>
      </c>
      <c r="D10" s="9" t="s">
        <v>25</v>
      </c>
      <c r="E10" s="9" t="s">
        <v>25</v>
      </c>
      <c r="F10" s="9" t="s">
        <v>25</v>
      </c>
      <c r="G10" s="9" t="s">
        <v>26</v>
      </c>
      <c r="H10" s="9" t="s">
        <v>26</v>
      </c>
    </row>
    <row r="11" spans="1:16" s="2" customFormat="1" x14ac:dyDescent="0.15">
      <c r="A11" s="8" t="s">
        <v>27</v>
      </c>
      <c r="B11" s="9" t="s">
        <v>28</v>
      </c>
      <c r="C11" s="9" t="s">
        <v>28</v>
      </c>
      <c r="D11" s="9" t="s">
        <v>28</v>
      </c>
      <c r="E11" s="9" t="s">
        <v>28</v>
      </c>
      <c r="F11" s="9" t="s">
        <v>28</v>
      </c>
      <c r="G11" s="9" t="s">
        <v>29</v>
      </c>
      <c r="H11" s="9" t="s">
        <v>29</v>
      </c>
    </row>
    <row r="12" spans="1:16" s="2" customFormat="1" x14ac:dyDescent="0.15">
      <c r="A12" s="11"/>
      <c r="B12" s="12"/>
      <c r="C12" s="12"/>
      <c r="D12" s="12"/>
      <c r="E12" s="12"/>
      <c r="F12" s="12"/>
      <c r="G12" s="9"/>
      <c r="H12" s="9"/>
    </row>
    <row r="13" spans="1:16" s="2" customFormat="1" x14ac:dyDescent="0.15">
      <c r="A13" s="11" t="s">
        <v>30</v>
      </c>
      <c r="B13" s="12" t="s">
        <v>31</v>
      </c>
      <c r="C13" s="12" t="s">
        <v>32</v>
      </c>
      <c r="D13" s="12"/>
      <c r="E13" s="12"/>
      <c r="F13" s="12"/>
      <c r="G13" s="9"/>
      <c r="H13" s="9"/>
      <c r="K13" s="14"/>
      <c r="O13" s="15"/>
      <c r="P13" s="15"/>
    </row>
    <row r="14" spans="1:16" s="2" customFormat="1" ht="16.5" x14ac:dyDescent="0.3">
      <c r="A14" s="11"/>
      <c r="B14" s="12">
        <v>1</v>
      </c>
      <c r="C14" s="31">
        <v>400</v>
      </c>
      <c r="D14" s="31">
        <v>400</v>
      </c>
      <c r="E14" s="12">
        <v>3</v>
      </c>
      <c r="F14" s="12"/>
      <c r="G14" s="9"/>
      <c r="H14" s="9"/>
      <c r="K14" s="14"/>
      <c r="O14" s="15"/>
      <c r="P14" s="15"/>
    </row>
    <row r="15" spans="1:16" ht="16.5" x14ac:dyDescent="0.3">
      <c r="A15" s="11"/>
      <c r="B15" s="12">
        <v>2</v>
      </c>
      <c r="C15" s="31">
        <v>500</v>
      </c>
      <c r="D15" s="31">
        <v>500</v>
      </c>
      <c r="E15" s="12">
        <v>3</v>
      </c>
      <c r="F15" s="12"/>
      <c r="G15" s="9"/>
      <c r="H15" s="9"/>
    </row>
    <row r="16" spans="1:16" ht="16.5" x14ac:dyDescent="0.3">
      <c r="A16" s="11"/>
      <c r="B16" s="12">
        <v>3</v>
      </c>
      <c r="C16" s="31">
        <v>500</v>
      </c>
      <c r="D16" s="31">
        <v>500</v>
      </c>
      <c r="E16" s="12">
        <v>3</v>
      </c>
      <c r="F16" s="12"/>
      <c r="G16" s="9"/>
      <c r="H16" s="9"/>
    </row>
    <row r="17" spans="1:8" ht="16.5" x14ac:dyDescent="0.3">
      <c r="A17" s="11"/>
      <c r="B17" s="12">
        <v>4</v>
      </c>
      <c r="C17" s="31">
        <v>600</v>
      </c>
      <c r="D17" s="31">
        <v>600</v>
      </c>
      <c r="E17" s="12">
        <v>3</v>
      </c>
      <c r="F17" s="12"/>
      <c r="G17" s="9"/>
      <c r="H17" s="9"/>
    </row>
    <row r="18" spans="1:8" ht="16.5" x14ac:dyDescent="0.3">
      <c r="A18" s="11"/>
      <c r="B18" s="12">
        <v>5</v>
      </c>
      <c r="C18" s="31">
        <v>800</v>
      </c>
      <c r="D18" s="31">
        <v>800</v>
      </c>
      <c r="E18" s="12">
        <v>3</v>
      </c>
      <c r="F18" s="12"/>
      <c r="G18" s="9"/>
      <c r="H18" s="9"/>
    </row>
    <row r="19" spans="1:8" ht="16.5" x14ac:dyDescent="0.3">
      <c r="A19" s="11"/>
      <c r="B19" s="12">
        <v>6</v>
      </c>
      <c r="C19" s="31">
        <v>900</v>
      </c>
      <c r="D19" s="31">
        <v>900</v>
      </c>
      <c r="E19" s="12">
        <v>3</v>
      </c>
      <c r="F19" s="12"/>
      <c r="G19" s="9"/>
      <c r="H19" s="9"/>
    </row>
    <row r="20" spans="1:8" ht="16.5" x14ac:dyDescent="0.3">
      <c r="A20" s="11"/>
      <c r="B20" s="12">
        <v>7</v>
      </c>
      <c r="C20" s="31">
        <v>1200</v>
      </c>
      <c r="D20" s="31">
        <v>1200</v>
      </c>
      <c r="E20" s="12">
        <v>3</v>
      </c>
      <c r="F20" s="12"/>
      <c r="G20" s="9"/>
      <c r="H20" s="9"/>
    </row>
    <row r="21" spans="1:8" ht="16.5" x14ac:dyDescent="0.3">
      <c r="A21" s="11"/>
      <c r="B21" s="12">
        <v>8</v>
      </c>
      <c r="C21" s="31">
        <v>1400</v>
      </c>
      <c r="D21" s="31">
        <v>1400</v>
      </c>
      <c r="E21" s="12">
        <v>3</v>
      </c>
      <c r="F21" s="12"/>
      <c r="G21" s="9"/>
      <c r="H21" s="9"/>
    </row>
    <row r="22" spans="1:8" ht="16.5" x14ac:dyDescent="0.3">
      <c r="A22" s="11"/>
      <c r="B22" s="12">
        <v>9</v>
      </c>
      <c r="C22" s="31">
        <v>1700</v>
      </c>
      <c r="D22" s="31">
        <v>1700</v>
      </c>
      <c r="E22" s="12">
        <v>3</v>
      </c>
      <c r="F22" s="12"/>
      <c r="G22" s="9"/>
      <c r="H22" s="9"/>
    </row>
    <row r="23" spans="1:8" ht="16.5" x14ac:dyDescent="0.3">
      <c r="A23" s="11"/>
      <c r="B23" s="12">
        <v>10</v>
      </c>
      <c r="C23" s="31">
        <v>2000</v>
      </c>
      <c r="D23" s="31">
        <v>2000</v>
      </c>
      <c r="E23" s="12">
        <v>3</v>
      </c>
      <c r="F23" s="12"/>
      <c r="G23" s="9"/>
      <c r="H23" s="9"/>
    </row>
    <row r="24" spans="1:8" ht="16.5" x14ac:dyDescent="0.3">
      <c r="A24" s="11"/>
      <c r="B24" s="12">
        <v>11</v>
      </c>
      <c r="C24" s="31">
        <v>2400</v>
      </c>
      <c r="D24" s="31">
        <v>2400</v>
      </c>
      <c r="E24" s="12">
        <v>3</v>
      </c>
      <c r="F24" s="12"/>
      <c r="G24" s="9"/>
      <c r="H24" s="9"/>
    </row>
    <row r="25" spans="1:8" ht="16.5" x14ac:dyDescent="0.3">
      <c r="A25" s="11"/>
      <c r="B25" s="12">
        <v>12</v>
      </c>
      <c r="C25" s="31">
        <v>2800</v>
      </c>
      <c r="D25" s="31">
        <v>2800</v>
      </c>
      <c r="E25" s="12">
        <v>3</v>
      </c>
      <c r="F25" s="12"/>
      <c r="G25" s="9"/>
      <c r="H25" s="9"/>
    </row>
    <row r="26" spans="1:8" ht="16.5" x14ac:dyDescent="0.3">
      <c r="A26" s="11"/>
      <c r="B26" s="12">
        <v>13</v>
      </c>
      <c r="C26" s="31">
        <v>3300</v>
      </c>
      <c r="D26" s="31">
        <v>3300</v>
      </c>
      <c r="E26" s="12">
        <v>3</v>
      </c>
      <c r="F26" s="12"/>
      <c r="G26" s="9"/>
      <c r="H26" s="9"/>
    </row>
    <row r="27" spans="1:8" ht="16.5" x14ac:dyDescent="0.3">
      <c r="A27" s="11"/>
      <c r="B27" s="12">
        <v>14</v>
      </c>
      <c r="C27" s="31">
        <v>3800</v>
      </c>
      <c r="D27" s="31">
        <v>3800</v>
      </c>
      <c r="E27" s="12">
        <v>3</v>
      </c>
      <c r="F27" s="12"/>
      <c r="G27" s="9"/>
      <c r="H27" s="9"/>
    </row>
    <row r="28" spans="1:8" ht="16.5" x14ac:dyDescent="0.3">
      <c r="A28" s="11"/>
      <c r="B28" s="12">
        <v>15</v>
      </c>
      <c r="C28" s="31">
        <v>4300</v>
      </c>
      <c r="D28" s="31">
        <v>4300</v>
      </c>
      <c r="E28" s="12">
        <v>3</v>
      </c>
      <c r="F28" s="12"/>
      <c r="G28" s="9"/>
      <c r="H28" s="9"/>
    </row>
    <row r="29" spans="1:8" ht="16.5" x14ac:dyDescent="0.3">
      <c r="A29" s="11"/>
      <c r="B29" s="12">
        <v>16</v>
      </c>
      <c r="C29" s="31">
        <v>4900</v>
      </c>
      <c r="D29" s="31">
        <v>4900</v>
      </c>
      <c r="E29" s="12">
        <v>4</v>
      </c>
      <c r="F29" s="12"/>
      <c r="G29" s="9"/>
      <c r="H29" s="9"/>
    </row>
    <row r="30" spans="1:8" ht="16.5" x14ac:dyDescent="0.3">
      <c r="A30" s="11"/>
      <c r="B30" s="12">
        <v>17</v>
      </c>
      <c r="C30" s="31">
        <v>5400</v>
      </c>
      <c r="D30" s="31">
        <v>5400</v>
      </c>
      <c r="E30" s="12">
        <v>4</v>
      </c>
      <c r="F30" s="12"/>
      <c r="G30" s="9"/>
      <c r="H30" s="9"/>
    </row>
    <row r="31" spans="1:8" ht="16.5" x14ac:dyDescent="0.3">
      <c r="A31" s="11"/>
      <c r="B31" s="12">
        <v>18</v>
      </c>
      <c r="C31" s="31">
        <v>6100</v>
      </c>
      <c r="D31" s="31">
        <v>6100</v>
      </c>
      <c r="E31" s="12">
        <v>4</v>
      </c>
      <c r="F31" s="12"/>
      <c r="G31" s="9"/>
      <c r="H31" s="9"/>
    </row>
    <row r="32" spans="1:8" ht="16.5" x14ac:dyDescent="0.3">
      <c r="A32" s="11"/>
      <c r="B32" s="12">
        <v>19</v>
      </c>
      <c r="C32" s="31">
        <v>6800</v>
      </c>
      <c r="D32" s="31">
        <v>6800</v>
      </c>
      <c r="E32" s="12">
        <v>4</v>
      </c>
      <c r="F32" s="12"/>
      <c r="G32" s="9"/>
      <c r="H32" s="9"/>
    </row>
    <row r="33" spans="1:8" ht="16.5" x14ac:dyDescent="0.3">
      <c r="A33" s="11"/>
      <c r="B33" s="12">
        <v>20</v>
      </c>
      <c r="C33" s="31">
        <v>7500</v>
      </c>
      <c r="D33" s="31">
        <v>7500</v>
      </c>
      <c r="E33" s="12">
        <v>4</v>
      </c>
      <c r="F33" s="12"/>
      <c r="G33" s="9"/>
      <c r="H33" s="9"/>
    </row>
    <row r="34" spans="1:8" ht="16.5" x14ac:dyDescent="0.3">
      <c r="A34" s="11"/>
      <c r="B34" s="12">
        <v>21</v>
      </c>
      <c r="C34" s="31">
        <v>8300</v>
      </c>
      <c r="D34" s="31">
        <v>8300</v>
      </c>
      <c r="E34" s="12">
        <v>4</v>
      </c>
      <c r="F34" s="12"/>
      <c r="G34" s="9"/>
      <c r="H34" s="9"/>
    </row>
    <row r="35" spans="1:8" ht="16.5" x14ac:dyDescent="0.3">
      <c r="A35" s="11"/>
      <c r="B35" s="12">
        <v>22</v>
      </c>
      <c r="C35" s="31">
        <v>9100</v>
      </c>
      <c r="D35" s="31">
        <v>9100</v>
      </c>
      <c r="E35" s="12">
        <v>4</v>
      </c>
      <c r="F35" s="12"/>
      <c r="G35" s="9"/>
      <c r="H35" s="9"/>
    </row>
    <row r="36" spans="1:8" ht="16.5" x14ac:dyDescent="0.3">
      <c r="A36" s="11"/>
      <c r="B36" s="12">
        <v>23</v>
      </c>
      <c r="C36" s="31">
        <v>10000</v>
      </c>
      <c r="D36" s="31">
        <v>10000</v>
      </c>
      <c r="E36" s="12">
        <v>4</v>
      </c>
      <c r="F36" s="12"/>
      <c r="G36" s="9"/>
      <c r="H36" s="9"/>
    </row>
    <row r="37" spans="1:8" ht="16.5" x14ac:dyDescent="0.3">
      <c r="A37" s="11"/>
      <c r="B37" s="12">
        <v>24</v>
      </c>
      <c r="C37" s="31">
        <v>10800</v>
      </c>
      <c r="D37" s="31">
        <v>10800</v>
      </c>
      <c r="E37" s="12">
        <v>4</v>
      </c>
      <c r="F37" s="12"/>
      <c r="G37" s="9"/>
      <c r="H37" s="9"/>
    </row>
    <row r="38" spans="1:8" ht="16.5" x14ac:dyDescent="0.3">
      <c r="A38" s="11"/>
      <c r="B38" s="12">
        <v>25</v>
      </c>
      <c r="C38" s="31">
        <v>11700</v>
      </c>
      <c r="D38" s="31">
        <v>11700</v>
      </c>
      <c r="E38" s="12">
        <v>4</v>
      </c>
      <c r="F38" s="12"/>
      <c r="G38" s="9"/>
      <c r="H38" s="9"/>
    </row>
    <row r="39" spans="1:8" ht="16.5" x14ac:dyDescent="0.3">
      <c r="A39" s="11"/>
      <c r="B39" s="12">
        <v>26</v>
      </c>
      <c r="C39" s="31">
        <v>12700</v>
      </c>
      <c r="D39" s="31">
        <v>12700</v>
      </c>
      <c r="E39" s="12">
        <v>4</v>
      </c>
      <c r="F39" s="12"/>
      <c r="G39" s="9"/>
      <c r="H39" s="9"/>
    </row>
    <row r="40" spans="1:8" ht="16.5" x14ac:dyDescent="0.3">
      <c r="A40" s="11"/>
      <c r="B40" s="12">
        <v>27</v>
      </c>
      <c r="C40" s="31">
        <v>13700</v>
      </c>
      <c r="D40" s="31">
        <v>13700</v>
      </c>
      <c r="E40" s="12">
        <v>4</v>
      </c>
      <c r="F40" s="12"/>
      <c r="G40" s="9"/>
      <c r="H40" s="9"/>
    </row>
    <row r="41" spans="1:8" ht="16.5" x14ac:dyDescent="0.3">
      <c r="A41" s="11"/>
      <c r="B41" s="12">
        <v>28</v>
      </c>
      <c r="C41" s="31">
        <v>14800</v>
      </c>
      <c r="D41" s="31">
        <v>14800</v>
      </c>
      <c r="E41" s="12">
        <v>4</v>
      </c>
      <c r="F41" s="12"/>
      <c r="G41" s="9"/>
      <c r="H41" s="9"/>
    </row>
    <row r="42" spans="1:8" ht="16.5" x14ac:dyDescent="0.3">
      <c r="A42" s="11"/>
      <c r="B42" s="12">
        <v>29</v>
      </c>
      <c r="C42" s="31">
        <v>15900</v>
      </c>
      <c r="D42" s="31">
        <v>15900</v>
      </c>
      <c r="E42" s="12">
        <v>4</v>
      </c>
      <c r="F42" s="12"/>
      <c r="G42" s="9"/>
      <c r="H42" s="9"/>
    </row>
    <row r="43" spans="1:8" ht="16.5" x14ac:dyDescent="0.3">
      <c r="A43" s="11"/>
      <c r="B43" s="12">
        <v>30</v>
      </c>
      <c r="C43" s="31">
        <v>17000</v>
      </c>
      <c r="D43" s="31">
        <v>17000</v>
      </c>
      <c r="E43" s="12">
        <v>4</v>
      </c>
      <c r="F43" s="12"/>
      <c r="G43" s="9"/>
      <c r="H43" s="9"/>
    </row>
    <row r="44" spans="1:8" ht="16.5" x14ac:dyDescent="0.3">
      <c r="A44" s="11"/>
      <c r="B44" s="12">
        <v>31</v>
      </c>
      <c r="C44" s="31">
        <v>18100</v>
      </c>
      <c r="D44" s="31">
        <v>18100</v>
      </c>
      <c r="E44" s="12">
        <v>4</v>
      </c>
      <c r="F44" s="12"/>
      <c r="G44" s="9"/>
      <c r="H44" s="9"/>
    </row>
    <row r="45" spans="1:8" ht="16.5" x14ac:dyDescent="0.3">
      <c r="A45" s="11"/>
      <c r="B45" s="12">
        <v>32</v>
      </c>
      <c r="C45" s="31">
        <v>19300</v>
      </c>
      <c r="D45" s="31">
        <v>19300</v>
      </c>
      <c r="E45" s="12">
        <v>4</v>
      </c>
      <c r="F45" s="12"/>
      <c r="G45" s="9"/>
      <c r="H45" s="9"/>
    </row>
    <row r="46" spans="1:8" ht="16.5" x14ac:dyDescent="0.3">
      <c r="A46" s="11"/>
      <c r="B46" s="12">
        <v>33</v>
      </c>
      <c r="C46" s="31">
        <v>20500</v>
      </c>
      <c r="D46" s="31">
        <v>20500</v>
      </c>
      <c r="E46" s="12">
        <v>4</v>
      </c>
      <c r="F46" s="12"/>
      <c r="G46" s="9"/>
      <c r="H46" s="9"/>
    </row>
    <row r="47" spans="1:8" ht="16.5" x14ac:dyDescent="0.3">
      <c r="A47" s="11"/>
      <c r="B47" s="12">
        <v>34</v>
      </c>
      <c r="C47" s="31">
        <v>21800</v>
      </c>
      <c r="D47" s="31">
        <v>21800</v>
      </c>
      <c r="E47" s="12">
        <v>4</v>
      </c>
      <c r="F47" s="12"/>
      <c r="G47" s="9"/>
      <c r="H47" s="9"/>
    </row>
    <row r="48" spans="1:8" ht="16.5" x14ac:dyDescent="0.3">
      <c r="A48" s="11"/>
      <c r="B48" s="12">
        <v>35</v>
      </c>
      <c r="C48" s="31">
        <v>23200</v>
      </c>
      <c r="D48" s="31">
        <v>23200</v>
      </c>
      <c r="E48" s="12">
        <v>4</v>
      </c>
      <c r="F48" s="12"/>
      <c r="G48" s="9"/>
      <c r="H48" s="9"/>
    </row>
    <row r="49" spans="1:8" ht="16.5" x14ac:dyDescent="0.3">
      <c r="A49" s="11"/>
      <c r="B49" s="12">
        <v>36</v>
      </c>
      <c r="C49" s="31">
        <v>24500</v>
      </c>
      <c r="D49" s="31">
        <v>24500</v>
      </c>
      <c r="E49" s="12">
        <v>4</v>
      </c>
      <c r="F49" s="12"/>
      <c r="G49" s="9"/>
      <c r="H49" s="9"/>
    </row>
    <row r="50" spans="1:8" ht="16.5" x14ac:dyDescent="0.3">
      <c r="A50" s="11"/>
      <c r="B50" s="12">
        <v>37</v>
      </c>
      <c r="C50" s="31">
        <v>25900</v>
      </c>
      <c r="D50" s="31">
        <v>25900</v>
      </c>
      <c r="E50" s="12">
        <v>5</v>
      </c>
      <c r="F50" s="12"/>
      <c r="G50" s="9"/>
      <c r="H50" s="9"/>
    </row>
    <row r="51" spans="1:8" ht="16.5" x14ac:dyDescent="0.3">
      <c r="A51" s="11"/>
      <c r="B51" s="12">
        <v>38</v>
      </c>
      <c r="C51" s="31">
        <v>27300</v>
      </c>
      <c r="D51" s="31">
        <v>27300</v>
      </c>
      <c r="E51" s="12">
        <v>5</v>
      </c>
      <c r="F51" s="12"/>
      <c r="G51" s="9"/>
      <c r="H51" s="9"/>
    </row>
    <row r="52" spans="1:8" ht="16.5" x14ac:dyDescent="0.3">
      <c r="A52" s="11"/>
      <c r="B52" s="12">
        <v>39</v>
      </c>
      <c r="C52" s="31">
        <v>28800</v>
      </c>
      <c r="D52" s="31">
        <v>28800</v>
      </c>
      <c r="E52" s="12">
        <v>5</v>
      </c>
      <c r="F52" s="12"/>
      <c r="G52" s="9"/>
      <c r="H52" s="9"/>
    </row>
    <row r="53" spans="1:8" ht="16.5" x14ac:dyDescent="0.3">
      <c r="A53" s="11"/>
      <c r="B53" s="12">
        <v>40</v>
      </c>
      <c r="C53" s="31">
        <v>30300</v>
      </c>
      <c r="D53" s="31">
        <v>30300</v>
      </c>
      <c r="E53" s="12">
        <v>5</v>
      </c>
      <c r="F53" s="12"/>
      <c r="G53" s="9"/>
      <c r="H53" s="9"/>
    </row>
    <row r="54" spans="1:8" ht="16.5" x14ac:dyDescent="0.3">
      <c r="A54" s="11"/>
      <c r="B54" s="12">
        <v>41</v>
      </c>
      <c r="C54" s="31">
        <v>31800</v>
      </c>
      <c r="D54" s="31">
        <v>31800</v>
      </c>
      <c r="E54" s="12">
        <v>5</v>
      </c>
      <c r="F54" s="12"/>
      <c r="G54" s="9"/>
      <c r="H54" s="9"/>
    </row>
    <row r="55" spans="1:8" ht="16.5" x14ac:dyDescent="0.3">
      <c r="A55" s="11"/>
      <c r="B55" s="12">
        <v>42</v>
      </c>
      <c r="C55" s="31">
        <v>33400</v>
      </c>
      <c r="D55" s="31">
        <v>33400</v>
      </c>
      <c r="E55" s="12">
        <v>5</v>
      </c>
      <c r="F55" s="12"/>
      <c r="G55" s="9"/>
      <c r="H55" s="9"/>
    </row>
    <row r="56" spans="1:8" ht="16.5" x14ac:dyDescent="0.3">
      <c r="A56" s="11"/>
      <c r="B56" s="12">
        <v>43</v>
      </c>
      <c r="C56" s="31">
        <v>35100</v>
      </c>
      <c r="D56" s="31">
        <v>35100</v>
      </c>
      <c r="E56" s="12">
        <v>5</v>
      </c>
      <c r="F56" s="12"/>
      <c r="G56" s="9"/>
      <c r="H56" s="9"/>
    </row>
    <row r="57" spans="1:8" ht="16.5" x14ac:dyDescent="0.3">
      <c r="A57" s="11"/>
      <c r="B57" s="12">
        <v>44</v>
      </c>
      <c r="C57" s="31">
        <v>36700</v>
      </c>
      <c r="D57" s="31">
        <v>36700</v>
      </c>
      <c r="E57" s="12">
        <v>5</v>
      </c>
      <c r="F57" s="12"/>
      <c r="G57" s="9"/>
      <c r="H57" s="9"/>
    </row>
    <row r="58" spans="1:8" ht="16.5" x14ac:dyDescent="0.3">
      <c r="A58" s="11"/>
      <c r="B58" s="12">
        <v>45</v>
      </c>
      <c r="C58" s="31">
        <v>38500</v>
      </c>
      <c r="D58" s="31">
        <v>38500</v>
      </c>
      <c r="E58" s="12">
        <v>5</v>
      </c>
      <c r="F58" s="12"/>
      <c r="G58" s="9"/>
      <c r="H58" s="9"/>
    </row>
    <row r="59" spans="1:8" ht="16.5" x14ac:dyDescent="0.3">
      <c r="A59" s="11"/>
      <c r="B59" s="12">
        <v>46</v>
      </c>
      <c r="C59" s="31">
        <v>40200</v>
      </c>
      <c r="D59" s="31">
        <v>40200</v>
      </c>
      <c r="E59" s="12">
        <v>5</v>
      </c>
      <c r="F59" s="12"/>
      <c r="G59" s="9"/>
      <c r="H59" s="9"/>
    </row>
    <row r="60" spans="1:8" ht="16.5" x14ac:dyDescent="0.3">
      <c r="A60" s="11"/>
      <c r="B60" s="12">
        <v>47</v>
      </c>
      <c r="C60" s="31">
        <v>42000</v>
      </c>
      <c r="D60" s="31">
        <v>42000</v>
      </c>
      <c r="E60" s="12">
        <v>5</v>
      </c>
      <c r="F60" s="12"/>
      <c r="G60" s="9"/>
      <c r="H60" s="9"/>
    </row>
    <row r="61" spans="1:8" ht="16.5" x14ac:dyDescent="0.3">
      <c r="A61" s="11"/>
      <c r="B61" s="12">
        <v>48</v>
      </c>
      <c r="C61" s="31">
        <v>43800</v>
      </c>
      <c r="D61" s="31">
        <v>43800</v>
      </c>
      <c r="E61" s="12">
        <v>5</v>
      </c>
      <c r="F61" s="12"/>
      <c r="G61" s="9"/>
      <c r="H61" s="9"/>
    </row>
    <row r="62" spans="1:8" ht="16.5" x14ac:dyDescent="0.3">
      <c r="A62" s="11"/>
      <c r="B62" s="12">
        <v>49</v>
      </c>
      <c r="C62" s="31">
        <v>45600</v>
      </c>
      <c r="D62" s="31">
        <v>45600</v>
      </c>
      <c r="E62" s="12">
        <v>5</v>
      </c>
      <c r="F62" s="12"/>
      <c r="G62" s="9"/>
      <c r="H62" s="9"/>
    </row>
    <row r="63" spans="1:8" ht="16.5" x14ac:dyDescent="0.3">
      <c r="A63" s="11"/>
      <c r="B63" s="12">
        <v>50</v>
      </c>
      <c r="C63" s="31">
        <v>47500</v>
      </c>
      <c r="D63" s="31">
        <v>47500</v>
      </c>
      <c r="E63" s="12">
        <v>5</v>
      </c>
      <c r="F63" s="12"/>
      <c r="G63" s="9"/>
      <c r="H63" s="9"/>
    </row>
    <row r="64" spans="1:8" ht="16.5" x14ac:dyDescent="0.3">
      <c r="A64" s="11"/>
      <c r="B64" s="12">
        <v>51</v>
      </c>
      <c r="C64" s="31">
        <v>49500</v>
      </c>
      <c r="D64" s="31">
        <v>49500</v>
      </c>
      <c r="E64" s="12">
        <v>5</v>
      </c>
      <c r="F64" s="12"/>
      <c r="G64" s="9"/>
      <c r="H64" s="9"/>
    </row>
    <row r="65" spans="1:8" ht="16.5" x14ac:dyDescent="0.3">
      <c r="A65" s="11"/>
      <c r="B65" s="12">
        <v>52</v>
      </c>
      <c r="C65" s="31">
        <v>51500</v>
      </c>
      <c r="D65" s="31">
        <v>51500</v>
      </c>
      <c r="E65" s="12">
        <v>5</v>
      </c>
      <c r="F65" s="12"/>
      <c r="G65" s="9"/>
      <c r="H65" s="9"/>
    </row>
    <row r="66" spans="1:8" ht="16.5" x14ac:dyDescent="0.3">
      <c r="A66" s="11"/>
      <c r="B66" s="12">
        <v>53</v>
      </c>
      <c r="C66" s="31">
        <v>53500</v>
      </c>
      <c r="D66" s="31">
        <v>53500</v>
      </c>
      <c r="E66" s="12">
        <v>5</v>
      </c>
      <c r="F66" s="12"/>
      <c r="G66" s="9"/>
      <c r="H66" s="9"/>
    </row>
    <row r="67" spans="1:8" ht="16.5" x14ac:dyDescent="0.3">
      <c r="A67" s="11"/>
      <c r="B67" s="12">
        <v>54</v>
      </c>
      <c r="C67" s="31">
        <v>55600</v>
      </c>
      <c r="D67" s="31">
        <v>55600</v>
      </c>
      <c r="E67" s="12">
        <v>5</v>
      </c>
      <c r="F67" s="12"/>
      <c r="G67" s="9"/>
      <c r="H67" s="9"/>
    </row>
    <row r="68" spans="1:8" ht="16.5" x14ac:dyDescent="0.3">
      <c r="A68" s="11"/>
      <c r="B68" s="12">
        <v>55</v>
      </c>
      <c r="C68" s="31">
        <v>57700</v>
      </c>
      <c r="D68" s="31">
        <v>57700</v>
      </c>
      <c r="E68" s="12">
        <v>5</v>
      </c>
      <c r="F68" s="12"/>
      <c r="G68" s="9"/>
      <c r="H68" s="9"/>
    </row>
    <row r="69" spans="1:8" ht="16.5" x14ac:dyDescent="0.3">
      <c r="A69" s="11"/>
      <c r="B69" s="12">
        <v>56</v>
      </c>
      <c r="C69" s="31">
        <v>59800</v>
      </c>
      <c r="D69" s="31">
        <v>59800</v>
      </c>
      <c r="E69" s="12">
        <v>5</v>
      </c>
      <c r="F69" s="12"/>
      <c r="G69" s="9"/>
      <c r="H69" s="9"/>
    </row>
    <row r="70" spans="1:8" ht="16.5" x14ac:dyDescent="0.3">
      <c r="A70" s="11"/>
      <c r="B70" s="12">
        <v>57</v>
      </c>
      <c r="C70" s="31">
        <v>62000</v>
      </c>
      <c r="D70" s="31">
        <v>62000</v>
      </c>
      <c r="E70" s="12">
        <v>5</v>
      </c>
      <c r="F70" s="12"/>
      <c r="G70" s="9"/>
      <c r="H70" s="9"/>
    </row>
    <row r="71" spans="1:8" ht="16.5" x14ac:dyDescent="0.3">
      <c r="A71" s="11"/>
      <c r="B71" s="12">
        <v>58</v>
      </c>
      <c r="C71" s="31">
        <v>64200</v>
      </c>
      <c r="D71" s="31">
        <v>64200</v>
      </c>
      <c r="E71" s="12">
        <v>5</v>
      </c>
      <c r="F71" s="12"/>
      <c r="G71" s="9"/>
      <c r="H71" s="9"/>
    </row>
    <row r="72" spans="1:8" ht="16.5" x14ac:dyDescent="0.3">
      <c r="A72" s="11"/>
      <c r="B72" s="12">
        <v>59</v>
      </c>
      <c r="C72" s="31">
        <v>66400</v>
      </c>
      <c r="D72" s="31">
        <v>66400</v>
      </c>
      <c r="E72" s="12">
        <v>5</v>
      </c>
      <c r="F72" s="12"/>
      <c r="G72" s="9"/>
      <c r="H72" s="9"/>
    </row>
    <row r="73" spans="1:8" ht="16.5" x14ac:dyDescent="0.3">
      <c r="A73" s="11"/>
      <c r="B73" s="12">
        <v>60</v>
      </c>
      <c r="C73" s="31">
        <v>68700</v>
      </c>
      <c r="D73" s="31">
        <v>68700</v>
      </c>
      <c r="E73" s="12">
        <v>5</v>
      </c>
      <c r="F73" s="12"/>
      <c r="G73" s="9"/>
      <c r="H73" s="9"/>
    </row>
    <row r="74" spans="1:8" ht="16.5" x14ac:dyDescent="0.3">
      <c r="A74" s="11"/>
      <c r="B74" s="12">
        <v>61</v>
      </c>
      <c r="C74" s="31">
        <v>71100</v>
      </c>
      <c r="D74" s="31">
        <v>71100</v>
      </c>
      <c r="E74" s="12">
        <v>6</v>
      </c>
      <c r="F74" s="12"/>
      <c r="G74" s="9"/>
      <c r="H74" s="9"/>
    </row>
    <row r="75" spans="1:8" ht="16.5" x14ac:dyDescent="0.3">
      <c r="A75" s="11"/>
      <c r="B75" s="12">
        <v>62</v>
      </c>
      <c r="C75" s="31">
        <v>73400</v>
      </c>
      <c r="D75" s="31">
        <v>73400</v>
      </c>
      <c r="E75" s="12">
        <v>6</v>
      </c>
      <c r="F75" s="12"/>
      <c r="G75" s="9"/>
      <c r="H75" s="9"/>
    </row>
    <row r="76" spans="1:8" ht="16.5" x14ac:dyDescent="0.3">
      <c r="A76" s="11"/>
      <c r="B76" s="12">
        <v>63</v>
      </c>
      <c r="C76" s="31">
        <v>75900</v>
      </c>
      <c r="D76" s="31">
        <v>75900</v>
      </c>
      <c r="E76" s="12">
        <v>6</v>
      </c>
      <c r="F76" s="12"/>
      <c r="G76" s="9"/>
      <c r="H76" s="9"/>
    </row>
    <row r="77" spans="1:8" ht="16.5" x14ac:dyDescent="0.3">
      <c r="A77" s="11"/>
      <c r="B77" s="12">
        <v>64</v>
      </c>
      <c r="C77" s="31">
        <v>78300</v>
      </c>
      <c r="D77" s="31">
        <v>78300</v>
      </c>
      <c r="E77" s="12">
        <v>6</v>
      </c>
      <c r="F77" s="12"/>
      <c r="G77" s="9"/>
      <c r="H77" s="9"/>
    </row>
    <row r="78" spans="1:8" ht="16.5" x14ac:dyDescent="0.3">
      <c r="A78" s="11"/>
      <c r="B78" s="12">
        <v>65</v>
      </c>
      <c r="C78" s="31">
        <v>80800</v>
      </c>
      <c r="D78" s="31">
        <v>80800</v>
      </c>
      <c r="E78" s="12">
        <v>6</v>
      </c>
      <c r="F78" s="12"/>
      <c r="G78" s="9"/>
      <c r="H78" s="9"/>
    </row>
    <row r="79" spans="1:8" ht="16.5" x14ac:dyDescent="0.3">
      <c r="A79" s="11"/>
      <c r="B79" s="12">
        <v>66</v>
      </c>
      <c r="C79" s="31">
        <v>83300</v>
      </c>
      <c r="D79" s="31">
        <v>83300</v>
      </c>
      <c r="E79" s="12">
        <v>6</v>
      </c>
      <c r="F79" s="12"/>
      <c r="G79" s="9"/>
      <c r="H79" s="9"/>
    </row>
    <row r="80" spans="1:8" ht="16.5" x14ac:dyDescent="0.3">
      <c r="A80" s="11"/>
      <c r="B80" s="12">
        <v>67</v>
      </c>
      <c r="C80" s="31">
        <v>85900</v>
      </c>
      <c r="D80" s="31">
        <v>85900</v>
      </c>
      <c r="E80" s="12">
        <v>6</v>
      </c>
      <c r="F80" s="12"/>
      <c r="G80" s="9"/>
      <c r="H80" s="9"/>
    </row>
    <row r="81" spans="1:8" ht="16.5" x14ac:dyDescent="0.3">
      <c r="A81" s="11"/>
      <c r="B81" s="12">
        <v>68</v>
      </c>
      <c r="C81" s="31">
        <v>88500</v>
      </c>
      <c r="D81" s="31">
        <v>88500</v>
      </c>
      <c r="E81" s="12">
        <v>6</v>
      </c>
      <c r="F81" s="12"/>
      <c r="G81" s="9"/>
      <c r="H81" s="9"/>
    </row>
    <row r="82" spans="1:8" ht="16.5" x14ac:dyDescent="0.3">
      <c r="A82" s="11"/>
      <c r="B82" s="12">
        <v>69</v>
      </c>
      <c r="C82" s="31">
        <v>91100</v>
      </c>
      <c r="D82" s="31">
        <v>91100</v>
      </c>
      <c r="E82" s="12">
        <v>6</v>
      </c>
      <c r="F82" s="12"/>
      <c r="G82" s="9"/>
      <c r="H82" s="9"/>
    </row>
    <row r="83" spans="1:8" ht="16.5" x14ac:dyDescent="0.3">
      <c r="A83" s="11"/>
      <c r="B83" s="12">
        <v>70</v>
      </c>
      <c r="C83" s="31">
        <v>93800</v>
      </c>
      <c r="D83" s="31">
        <v>93800</v>
      </c>
      <c r="E83" s="12">
        <v>6</v>
      </c>
      <c r="F83" s="12"/>
      <c r="G83" s="9"/>
      <c r="H83" s="9"/>
    </row>
    <row r="84" spans="1:8" ht="16.5" x14ac:dyDescent="0.3">
      <c r="A84" s="11"/>
      <c r="B84" s="12">
        <v>71</v>
      </c>
      <c r="C84" s="31">
        <v>96600</v>
      </c>
      <c r="D84" s="31">
        <v>96600</v>
      </c>
      <c r="E84" s="12">
        <v>6</v>
      </c>
      <c r="F84" s="12"/>
      <c r="G84" s="9"/>
      <c r="H84" s="9"/>
    </row>
    <row r="85" spans="1:8" ht="16.5" x14ac:dyDescent="0.3">
      <c r="A85" s="11"/>
      <c r="B85" s="12">
        <v>72</v>
      </c>
      <c r="C85" s="31">
        <v>99300</v>
      </c>
      <c r="D85" s="31">
        <v>99300</v>
      </c>
      <c r="E85" s="12">
        <v>6</v>
      </c>
      <c r="F85" s="12"/>
      <c r="G85" s="9"/>
      <c r="H85" s="9"/>
    </row>
    <row r="86" spans="1:8" ht="16.5" x14ac:dyDescent="0.3">
      <c r="A86" s="11"/>
      <c r="B86" s="12">
        <v>73</v>
      </c>
      <c r="C86" s="31">
        <v>102100</v>
      </c>
      <c r="D86" s="31">
        <v>102100</v>
      </c>
      <c r="E86" s="12">
        <v>6</v>
      </c>
      <c r="F86" s="12"/>
      <c r="G86" s="9"/>
      <c r="H86" s="9"/>
    </row>
    <row r="87" spans="1:8" ht="16.5" x14ac:dyDescent="0.3">
      <c r="A87" s="11"/>
      <c r="B87" s="12">
        <v>74</v>
      </c>
      <c r="C87" s="31">
        <v>104900</v>
      </c>
      <c r="D87" s="31">
        <v>104900</v>
      </c>
      <c r="E87" s="12">
        <v>6</v>
      </c>
      <c r="F87" s="12"/>
      <c r="G87" s="9"/>
      <c r="H87" s="9"/>
    </row>
    <row r="88" spans="1:8" ht="16.5" x14ac:dyDescent="0.3">
      <c r="A88" s="11"/>
      <c r="B88" s="12">
        <v>75</v>
      </c>
      <c r="C88" s="31">
        <v>107800</v>
      </c>
      <c r="D88" s="31">
        <v>107800</v>
      </c>
      <c r="E88" s="12">
        <v>6</v>
      </c>
      <c r="F88" s="12"/>
      <c r="G88" s="9"/>
      <c r="H88" s="9"/>
    </row>
    <row r="89" spans="1:8" ht="16.5" x14ac:dyDescent="0.3">
      <c r="A89" s="11"/>
      <c r="B89" s="12">
        <v>76</v>
      </c>
      <c r="C89" s="31">
        <v>110700</v>
      </c>
      <c r="D89" s="31">
        <v>110700</v>
      </c>
      <c r="E89" s="12">
        <v>6</v>
      </c>
      <c r="F89" s="12"/>
      <c r="G89" s="9"/>
      <c r="H89" s="9"/>
    </row>
    <row r="90" spans="1:8" ht="16.5" x14ac:dyDescent="0.3">
      <c r="A90" s="11"/>
      <c r="B90" s="12">
        <v>77</v>
      </c>
      <c r="C90" s="31">
        <v>113700</v>
      </c>
      <c r="D90" s="31">
        <v>113700</v>
      </c>
      <c r="E90" s="12">
        <v>6</v>
      </c>
      <c r="F90" s="12"/>
      <c r="G90" s="9"/>
      <c r="H90" s="9"/>
    </row>
    <row r="91" spans="1:8" ht="16.5" x14ac:dyDescent="0.3">
      <c r="A91" s="11"/>
      <c r="B91" s="12">
        <v>78</v>
      </c>
      <c r="C91" s="31">
        <v>116700</v>
      </c>
      <c r="D91" s="31">
        <v>116700</v>
      </c>
      <c r="E91" s="12">
        <v>6</v>
      </c>
      <c r="F91" s="12"/>
      <c r="G91" s="9"/>
      <c r="H91" s="9"/>
    </row>
    <row r="92" spans="1:8" ht="16.5" x14ac:dyDescent="0.3">
      <c r="A92" s="11"/>
      <c r="B92" s="12">
        <v>79</v>
      </c>
      <c r="C92" s="31">
        <v>119800</v>
      </c>
      <c r="D92" s="31">
        <v>119800</v>
      </c>
      <c r="E92" s="12">
        <v>6</v>
      </c>
      <c r="F92" s="12"/>
      <c r="G92" s="9"/>
      <c r="H92" s="9"/>
    </row>
    <row r="93" spans="1:8" ht="16.5" x14ac:dyDescent="0.3">
      <c r="A93" s="11"/>
      <c r="B93" s="12">
        <v>80</v>
      </c>
      <c r="C93" s="31">
        <v>122800</v>
      </c>
      <c r="D93" s="31">
        <v>122800</v>
      </c>
      <c r="E93" s="12">
        <v>6</v>
      </c>
      <c r="F93" s="12"/>
      <c r="G93" s="9"/>
      <c r="H93" s="9"/>
    </row>
    <row r="94" spans="1:8" ht="16.5" x14ac:dyDescent="0.3">
      <c r="A94" s="11"/>
      <c r="B94" s="12">
        <v>81</v>
      </c>
      <c r="C94" s="31">
        <v>125900</v>
      </c>
      <c r="D94" s="31">
        <v>125900</v>
      </c>
      <c r="E94" s="12">
        <v>6</v>
      </c>
      <c r="F94" s="12"/>
      <c r="G94" s="9"/>
      <c r="H94" s="9"/>
    </row>
    <row r="95" spans="1:8" ht="16.5" x14ac:dyDescent="0.3">
      <c r="A95" s="11"/>
      <c r="B95" s="12">
        <v>82</v>
      </c>
      <c r="C95" s="31">
        <v>129100</v>
      </c>
      <c r="D95" s="31">
        <v>129100</v>
      </c>
      <c r="E95" s="12">
        <v>6</v>
      </c>
      <c r="F95" s="12"/>
      <c r="G95" s="9"/>
      <c r="H95" s="9"/>
    </row>
    <row r="96" spans="1:8" ht="16.5" x14ac:dyDescent="0.3">
      <c r="A96" s="11"/>
      <c r="B96" s="12">
        <v>83</v>
      </c>
      <c r="C96" s="31">
        <v>132300</v>
      </c>
      <c r="D96" s="31">
        <v>132300</v>
      </c>
      <c r="E96" s="12">
        <v>6</v>
      </c>
      <c r="F96" s="12"/>
      <c r="G96" s="9"/>
      <c r="H96" s="9"/>
    </row>
    <row r="97" spans="1:8" ht="16.5" x14ac:dyDescent="0.3">
      <c r="A97" s="11"/>
      <c r="B97" s="12">
        <v>84</v>
      </c>
      <c r="C97" s="31">
        <v>135500</v>
      </c>
      <c r="D97" s="31">
        <v>135500</v>
      </c>
      <c r="E97" s="12">
        <v>6</v>
      </c>
      <c r="F97" s="12"/>
      <c r="G97" s="9"/>
      <c r="H97" s="9"/>
    </row>
    <row r="98" spans="1:8" ht="16.5" x14ac:dyDescent="0.3">
      <c r="A98" s="11"/>
      <c r="B98" s="12">
        <v>85</v>
      </c>
      <c r="C98" s="31">
        <v>138800</v>
      </c>
      <c r="D98" s="31">
        <v>138800</v>
      </c>
      <c r="E98" s="12">
        <v>6</v>
      </c>
      <c r="F98" s="12"/>
      <c r="G98" s="9"/>
      <c r="H98" s="9"/>
    </row>
    <row r="99" spans="1:8" ht="16.5" x14ac:dyDescent="0.3">
      <c r="A99" s="11"/>
      <c r="B99" s="12">
        <v>86</v>
      </c>
      <c r="C99" s="31">
        <v>142100</v>
      </c>
      <c r="D99" s="31">
        <v>142100</v>
      </c>
      <c r="E99" s="12">
        <v>6</v>
      </c>
      <c r="F99" s="12"/>
      <c r="G99" s="9"/>
      <c r="H99" s="9"/>
    </row>
    <row r="100" spans="1:8" ht="16.5" x14ac:dyDescent="0.3">
      <c r="A100" s="11"/>
      <c r="B100" s="12">
        <v>87</v>
      </c>
      <c r="C100" s="31">
        <v>145500</v>
      </c>
      <c r="D100" s="31">
        <v>145500</v>
      </c>
      <c r="E100" s="12">
        <v>6</v>
      </c>
      <c r="F100" s="12"/>
      <c r="G100" s="9"/>
      <c r="H100" s="9"/>
    </row>
    <row r="101" spans="1:8" ht="16.5" x14ac:dyDescent="0.3">
      <c r="A101" s="11"/>
      <c r="B101" s="12">
        <v>88</v>
      </c>
      <c r="C101" s="31">
        <v>148800</v>
      </c>
      <c r="D101" s="31">
        <v>148800</v>
      </c>
      <c r="E101" s="12">
        <v>6</v>
      </c>
      <c r="F101" s="12"/>
      <c r="G101" s="9"/>
      <c r="H101" s="9"/>
    </row>
    <row r="102" spans="1:8" ht="16.5" x14ac:dyDescent="0.3">
      <c r="A102" s="11"/>
      <c r="B102" s="12">
        <v>89</v>
      </c>
      <c r="C102" s="31">
        <v>152300</v>
      </c>
      <c r="D102" s="31">
        <v>152300</v>
      </c>
      <c r="E102" s="12">
        <v>6</v>
      </c>
      <c r="F102" s="12"/>
      <c r="G102" s="9"/>
      <c r="H102" s="9"/>
    </row>
    <row r="103" spans="1:8" ht="16.5" x14ac:dyDescent="0.3">
      <c r="A103" s="11"/>
      <c r="B103" s="12">
        <v>90</v>
      </c>
      <c r="C103" s="31">
        <v>155700</v>
      </c>
      <c r="D103" s="31">
        <v>155700</v>
      </c>
      <c r="E103" s="12">
        <v>6</v>
      </c>
      <c r="F103" s="12"/>
      <c r="G103" s="9"/>
      <c r="H103" s="9"/>
    </row>
    <row r="104" spans="1:8" ht="16.5" x14ac:dyDescent="0.3">
      <c r="A104" s="11"/>
      <c r="B104" s="12">
        <v>91</v>
      </c>
      <c r="C104" s="31">
        <v>159200</v>
      </c>
      <c r="D104" s="31">
        <v>159200</v>
      </c>
      <c r="E104" s="12">
        <v>6</v>
      </c>
      <c r="F104" s="12"/>
      <c r="G104" s="9"/>
      <c r="H104" s="9"/>
    </row>
    <row r="105" spans="1:8" ht="16.5" x14ac:dyDescent="0.3">
      <c r="A105" s="11"/>
      <c r="B105" s="12">
        <v>92</v>
      </c>
      <c r="C105" s="31">
        <v>162800</v>
      </c>
      <c r="D105" s="31">
        <v>162800</v>
      </c>
      <c r="E105" s="12">
        <v>6</v>
      </c>
      <c r="F105" s="12"/>
      <c r="G105" s="9"/>
      <c r="H105" s="9"/>
    </row>
    <row r="106" spans="1:8" ht="16.5" x14ac:dyDescent="0.3">
      <c r="A106" s="11"/>
      <c r="B106" s="12">
        <v>93</v>
      </c>
      <c r="C106" s="31">
        <v>166400</v>
      </c>
      <c r="D106" s="31">
        <v>166400</v>
      </c>
      <c r="E106" s="12">
        <v>6</v>
      </c>
      <c r="F106" s="12"/>
      <c r="G106" s="9"/>
      <c r="H106" s="9"/>
    </row>
    <row r="107" spans="1:8" ht="16.5" x14ac:dyDescent="0.3">
      <c r="A107" s="11"/>
      <c r="B107" s="12">
        <v>94</v>
      </c>
      <c r="C107" s="31">
        <v>170000</v>
      </c>
      <c r="D107" s="31">
        <v>170000</v>
      </c>
      <c r="E107" s="12">
        <v>6</v>
      </c>
      <c r="F107" s="12"/>
      <c r="G107" s="9"/>
      <c r="H107" s="9"/>
    </row>
    <row r="108" spans="1:8" ht="16.5" x14ac:dyDescent="0.3">
      <c r="A108" s="11"/>
      <c r="B108" s="12">
        <v>95</v>
      </c>
      <c r="C108" s="31">
        <v>173700</v>
      </c>
      <c r="D108" s="31">
        <v>173700</v>
      </c>
      <c r="E108" s="12">
        <v>6</v>
      </c>
      <c r="F108" s="12"/>
      <c r="G108" s="9"/>
      <c r="H108" s="9"/>
    </row>
    <row r="109" spans="1:8" ht="16.5" x14ac:dyDescent="0.3">
      <c r="A109" s="11"/>
      <c r="B109" s="12">
        <v>96</v>
      </c>
      <c r="C109" s="31">
        <v>177400</v>
      </c>
      <c r="D109" s="31">
        <v>177400</v>
      </c>
      <c r="E109" s="12">
        <v>6</v>
      </c>
      <c r="F109" s="12"/>
      <c r="G109" s="9"/>
      <c r="H109" s="9"/>
    </row>
    <row r="110" spans="1:8" ht="16.5" x14ac:dyDescent="0.3">
      <c r="A110" s="11"/>
      <c r="B110" s="12">
        <v>97</v>
      </c>
      <c r="C110" s="31">
        <v>181100</v>
      </c>
      <c r="D110" s="31">
        <v>181100</v>
      </c>
      <c r="E110" s="12">
        <v>6</v>
      </c>
      <c r="F110" s="12"/>
      <c r="G110" s="9"/>
      <c r="H110" s="9"/>
    </row>
    <row r="111" spans="1:8" ht="16.5" x14ac:dyDescent="0.3">
      <c r="A111" s="11"/>
      <c r="B111" s="12">
        <v>98</v>
      </c>
      <c r="C111" s="31">
        <v>184900</v>
      </c>
      <c r="D111" s="31">
        <v>184900</v>
      </c>
      <c r="E111" s="12">
        <v>6</v>
      </c>
      <c r="F111" s="12"/>
      <c r="G111" s="9"/>
      <c r="H111" s="9"/>
    </row>
    <row r="112" spans="1:8" ht="16.5" x14ac:dyDescent="0.3">
      <c r="A112" s="11"/>
      <c r="B112" s="12">
        <v>99</v>
      </c>
      <c r="C112" s="31">
        <v>188700</v>
      </c>
      <c r="D112" s="31">
        <v>188700</v>
      </c>
      <c r="E112" s="12">
        <v>6</v>
      </c>
      <c r="F112" s="12"/>
      <c r="G112" s="9"/>
      <c r="H112" s="9"/>
    </row>
    <row r="113" spans="1:8" ht="16.5" x14ac:dyDescent="0.3">
      <c r="A113" s="11"/>
      <c r="B113" s="12">
        <v>100</v>
      </c>
      <c r="C113" s="31">
        <v>188700</v>
      </c>
      <c r="D113" s="31">
        <v>188700</v>
      </c>
      <c r="E113" s="12">
        <v>6</v>
      </c>
      <c r="F113" s="12"/>
      <c r="G113" s="9"/>
      <c r="H113" s="9"/>
    </row>
    <row r="114" spans="1:8" x14ac:dyDescent="0.15">
      <c r="A114" s="11"/>
      <c r="B114" s="12"/>
      <c r="C114" s="12"/>
      <c r="D114" s="12"/>
      <c r="E114" s="12"/>
      <c r="F114" s="12"/>
      <c r="G114" s="9"/>
      <c r="H114" s="9"/>
    </row>
    <row r="115" spans="1:8" x14ac:dyDescent="0.15">
      <c r="A115" s="11"/>
      <c r="B115" s="12"/>
      <c r="C115" s="12"/>
      <c r="D115" s="12"/>
      <c r="E115" s="12"/>
      <c r="F115" s="12"/>
      <c r="G115" s="9"/>
      <c r="H115" s="9"/>
    </row>
    <row r="116" spans="1:8" x14ac:dyDescent="0.15">
      <c r="A116" s="11"/>
      <c r="B116" s="12"/>
      <c r="C116" s="12"/>
      <c r="D116" s="12"/>
      <c r="E116" s="12"/>
      <c r="F116" s="12"/>
      <c r="G116" s="9"/>
      <c r="H116" s="9"/>
    </row>
    <row r="117" spans="1:8" x14ac:dyDescent="0.15">
      <c r="A117" s="11"/>
      <c r="B117" s="12"/>
      <c r="C117" s="12"/>
      <c r="D117" s="12"/>
      <c r="E117" s="12"/>
      <c r="F117" s="12"/>
      <c r="G117" s="9"/>
      <c r="H117" s="9"/>
    </row>
    <row r="118" spans="1:8" x14ac:dyDescent="0.15">
      <c r="A118" s="11"/>
      <c r="B118" s="12"/>
      <c r="C118" s="12"/>
      <c r="D118" s="12"/>
      <c r="E118" s="12"/>
      <c r="F118" s="12"/>
      <c r="G118" s="9"/>
      <c r="H118" s="9"/>
    </row>
    <row r="119" spans="1:8" x14ac:dyDescent="0.15">
      <c r="A119" s="11"/>
      <c r="B119" s="12"/>
      <c r="C119" s="12"/>
      <c r="D119" s="12"/>
      <c r="E119" s="12"/>
      <c r="F119" s="12"/>
      <c r="G119" s="9"/>
      <c r="H119" s="9"/>
    </row>
    <row r="120" spans="1:8" x14ac:dyDescent="0.15">
      <c r="A120" s="11"/>
      <c r="B120" s="12"/>
      <c r="C120" s="12"/>
      <c r="D120" s="12"/>
      <c r="E120" s="12"/>
      <c r="F120" s="12"/>
      <c r="G120" s="9"/>
      <c r="H120" s="9"/>
    </row>
    <row r="121" spans="1:8" x14ac:dyDescent="0.15">
      <c r="A121" s="11"/>
      <c r="B121" s="12"/>
      <c r="C121" s="12"/>
      <c r="D121" s="12"/>
      <c r="E121" s="12"/>
      <c r="F121" s="12"/>
      <c r="G121" s="9"/>
      <c r="H121" s="9"/>
    </row>
    <row r="122" spans="1:8" x14ac:dyDescent="0.15">
      <c r="A122" s="11"/>
      <c r="B122" s="12"/>
      <c r="C122" s="12"/>
      <c r="D122" s="12"/>
      <c r="E122" s="12"/>
      <c r="F122" s="12"/>
      <c r="G122" s="9"/>
      <c r="H122" s="9"/>
    </row>
    <row r="123" spans="1:8" x14ac:dyDescent="0.15">
      <c r="A123" s="11"/>
      <c r="B123" s="12"/>
      <c r="C123" s="12"/>
      <c r="D123" s="12"/>
      <c r="E123" s="12"/>
      <c r="F123" s="12"/>
      <c r="G123" s="9"/>
      <c r="H123" s="9"/>
    </row>
    <row r="124" spans="1:8" x14ac:dyDescent="0.15">
      <c r="A124" s="11"/>
      <c r="B124" s="12"/>
      <c r="C124" s="12"/>
      <c r="D124" s="12"/>
      <c r="E124" s="12"/>
      <c r="F124" s="12"/>
      <c r="G124" s="9"/>
      <c r="H124" s="9"/>
    </row>
    <row r="125" spans="1:8" x14ac:dyDescent="0.15">
      <c r="A125" s="11"/>
      <c r="B125" s="12"/>
      <c r="C125" s="12"/>
      <c r="D125" s="12"/>
      <c r="E125" s="12"/>
      <c r="F125" s="12"/>
      <c r="G125" s="9"/>
      <c r="H125" s="9"/>
    </row>
    <row r="126" spans="1:8" x14ac:dyDescent="0.15">
      <c r="A126" s="11"/>
      <c r="B126" s="12"/>
      <c r="C126" s="12"/>
      <c r="D126" s="12"/>
      <c r="E126" s="12"/>
      <c r="F126" s="12"/>
      <c r="G126" s="9"/>
      <c r="H126" s="9"/>
    </row>
    <row r="127" spans="1:8" x14ac:dyDescent="0.15">
      <c r="A127" s="11"/>
      <c r="B127" s="12"/>
      <c r="C127" s="12"/>
      <c r="D127" s="12"/>
      <c r="E127" s="12"/>
      <c r="F127" s="12"/>
      <c r="G127" s="9"/>
      <c r="H127" s="9"/>
    </row>
    <row r="128" spans="1:8" x14ac:dyDescent="0.15">
      <c r="A128" s="11"/>
      <c r="B128" s="12"/>
      <c r="C128" s="12"/>
      <c r="D128" s="12"/>
      <c r="E128" s="12"/>
      <c r="F128" s="12"/>
      <c r="G128" s="9"/>
      <c r="H128" s="9"/>
    </row>
    <row r="129" spans="1:8" x14ac:dyDescent="0.15">
      <c r="A129" s="11"/>
      <c r="B129" s="12"/>
      <c r="C129" s="12"/>
      <c r="D129" s="12"/>
      <c r="E129" s="12"/>
      <c r="F129" s="12"/>
      <c r="G129" s="9"/>
      <c r="H129" s="9"/>
    </row>
    <row r="130" spans="1:8" x14ac:dyDescent="0.15">
      <c r="A130" s="11"/>
      <c r="B130" s="12"/>
      <c r="C130" s="12"/>
      <c r="D130" s="12"/>
      <c r="E130" s="12"/>
      <c r="F130" s="12"/>
      <c r="G130" s="9"/>
      <c r="H130" s="9"/>
    </row>
    <row r="131" spans="1:8" x14ac:dyDescent="0.15">
      <c r="A131" s="11"/>
      <c r="B131" s="12"/>
      <c r="C131" s="12"/>
      <c r="D131" s="12"/>
      <c r="E131" s="12"/>
      <c r="F131" s="12"/>
      <c r="G131" s="9"/>
      <c r="H131" s="9"/>
    </row>
    <row r="132" spans="1:8" x14ac:dyDescent="0.15">
      <c r="A132" s="11"/>
      <c r="B132" s="12"/>
      <c r="C132" s="12"/>
      <c r="D132" s="12"/>
      <c r="E132" s="12"/>
      <c r="F132" s="12"/>
      <c r="G132" s="9"/>
      <c r="H132" s="9"/>
    </row>
    <row r="133" spans="1:8" x14ac:dyDescent="0.15">
      <c r="A133" s="11"/>
      <c r="B133" s="12"/>
      <c r="C133" s="12"/>
      <c r="D133" s="12"/>
      <c r="E133" s="12"/>
      <c r="F133" s="12"/>
      <c r="G133" s="9"/>
      <c r="H133" s="9"/>
    </row>
    <row r="134" spans="1:8" x14ac:dyDescent="0.15">
      <c r="A134" s="11"/>
      <c r="B134" s="12"/>
      <c r="C134" s="12"/>
      <c r="D134" s="12"/>
      <c r="E134" s="12"/>
      <c r="F134" s="12"/>
      <c r="G134" s="9"/>
      <c r="H134" s="9"/>
    </row>
    <row r="135" spans="1:8" x14ac:dyDescent="0.15">
      <c r="A135" s="11"/>
      <c r="B135" s="12"/>
      <c r="C135" s="12"/>
      <c r="D135" s="12"/>
      <c r="E135" s="12"/>
      <c r="F135" s="12"/>
      <c r="G135" s="9"/>
      <c r="H135" s="9"/>
    </row>
    <row r="136" spans="1:8" x14ac:dyDescent="0.15">
      <c r="A136" s="11"/>
      <c r="B136" s="12"/>
      <c r="C136" s="12"/>
      <c r="D136" s="12"/>
      <c r="E136" s="12"/>
      <c r="F136" s="12"/>
      <c r="G136" s="9"/>
      <c r="H136" s="9"/>
    </row>
    <row r="137" spans="1:8" x14ac:dyDescent="0.15">
      <c r="A137" s="11"/>
      <c r="B137" s="12"/>
      <c r="C137" s="12"/>
      <c r="D137" s="12"/>
      <c r="E137" s="12"/>
      <c r="F137" s="12"/>
      <c r="G137" s="9"/>
      <c r="H137" s="9"/>
    </row>
    <row r="138" spans="1:8" x14ac:dyDescent="0.15">
      <c r="A138" s="11"/>
      <c r="B138" s="12"/>
      <c r="C138" s="12"/>
      <c r="D138" s="12"/>
      <c r="E138" s="12"/>
      <c r="F138" s="12"/>
      <c r="G138" s="9"/>
      <c r="H138" s="9"/>
    </row>
    <row r="139" spans="1:8" x14ac:dyDescent="0.15">
      <c r="A139" s="11"/>
      <c r="B139" s="12"/>
      <c r="C139" s="12"/>
      <c r="D139" s="12"/>
      <c r="E139" s="12"/>
      <c r="F139" s="12"/>
      <c r="G139" s="9"/>
      <c r="H139" s="9"/>
    </row>
    <row r="140" spans="1:8" x14ac:dyDescent="0.15">
      <c r="A140" s="11"/>
      <c r="B140" s="12"/>
      <c r="C140" s="12"/>
      <c r="D140" s="12"/>
      <c r="E140" s="12"/>
      <c r="F140" s="12"/>
      <c r="G140" s="9"/>
      <c r="H140" s="9"/>
    </row>
    <row r="141" spans="1:8" x14ac:dyDescent="0.15">
      <c r="A141" s="11"/>
      <c r="B141" s="12"/>
      <c r="C141" s="12"/>
      <c r="D141" s="12"/>
      <c r="E141" s="12"/>
      <c r="F141" s="12"/>
      <c r="G141" s="9"/>
      <c r="H141" s="9"/>
    </row>
    <row r="142" spans="1:8" x14ac:dyDescent="0.15">
      <c r="A142" s="11"/>
      <c r="B142" s="12"/>
      <c r="C142" s="12"/>
      <c r="D142" s="12"/>
      <c r="E142" s="12"/>
      <c r="F142" s="12"/>
      <c r="G142" s="9"/>
      <c r="H142" s="9"/>
    </row>
    <row r="143" spans="1:8" x14ac:dyDescent="0.15">
      <c r="A143" s="11"/>
      <c r="B143" s="12"/>
      <c r="C143" s="12"/>
      <c r="D143" s="12"/>
      <c r="E143" s="12"/>
      <c r="F143" s="12"/>
      <c r="G143" s="9"/>
      <c r="H143" s="9"/>
    </row>
    <row r="144" spans="1:8" x14ac:dyDescent="0.15">
      <c r="A144" s="11"/>
      <c r="B144" s="12"/>
      <c r="C144" s="12"/>
      <c r="D144" s="12"/>
      <c r="E144" s="12"/>
      <c r="F144" s="12"/>
      <c r="G144" s="9"/>
      <c r="H144" s="9"/>
    </row>
    <row r="145" spans="1:8" x14ac:dyDescent="0.15">
      <c r="A145" s="11"/>
      <c r="B145" s="12"/>
      <c r="C145" s="12"/>
      <c r="D145" s="12"/>
      <c r="E145" s="12"/>
      <c r="F145" s="12"/>
      <c r="G145" s="9"/>
      <c r="H145" s="9"/>
    </row>
    <row r="146" spans="1:8" x14ac:dyDescent="0.15">
      <c r="A146" s="11"/>
      <c r="B146" s="12"/>
      <c r="C146" s="12"/>
      <c r="D146" s="12"/>
      <c r="E146" s="12"/>
      <c r="F146" s="12"/>
      <c r="G146" s="9"/>
      <c r="H146" s="9"/>
    </row>
    <row r="147" spans="1:8" x14ac:dyDescent="0.15">
      <c r="A147" s="11"/>
      <c r="B147" s="12"/>
      <c r="C147" s="12"/>
      <c r="D147" s="12"/>
      <c r="E147" s="12"/>
      <c r="F147" s="12"/>
      <c r="G147" s="9"/>
      <c r="H147" s="9"/>
    </row>
    <row r="148" spans="1:8" x14ac:dyDescent="0.15">
      <c r="A148" s="11"/>
      <c r="B148" s="12"/>
      <c r="C148" s="12"/>
      <c r="D148" s="12"/>
      <c r="E148" s="12"/>
      <c r="F148" s="12"/>
      <c r="G148" s="9"/>
      <c r="H148" s="9"/>
    </row>
    <row r="149" spans="1:8" x14ac:dyDescent="0.15">
      <c r="A149" s="11"/>
      <c r="B149" s="12"/>
      <c r="C149" s="12"/>
      <c r="D149" s="12"/>
      <c r="E149" s="12"/>
      <c r="F149" s="12"/>
      <c r="G149" s="9"/>
      <c r="H149" s="9"/>
    </row>
    <row r="150" spans="1:8" x14ac:dyDescent="0.15">
      <c r="A150" s="11"/>
      <c r="B150" s="12"/>
      <c r="C150" s="12"/>
      <c r="D150" s="12"/>
      <c r="E150" s="12"/>
      <c r="F150" s="12"/>
      <c r="G150" s="9"/>
      <c r="H150" s="9"/>
    </row>
    <row r="151" spans="1:8" x14ac:dyDescent="0.15">
      <c r="A151" s="11"/>
      <c r="B151" s="12"/>
      <c r="C151" s="12"/>
      <c r="D151" s="12"/>
      <c r="E151" s="12"/>
      <c r="F151" s="12"/>
      <c r="G151" s="9"/>
      <c r="H151" s="9"/>
    </row>
    <row r="152" spans="1:8" x14ac:dyDescent="0.15">
      <c r="A152" s="11"/>
      <c r="B152" s="12"/>
      <c r="C152" s="12"/>
      <c r="D152" s="12"/>
      <c r="E152" s="12"/>
      <c r="F152" s="12"/>
      <c r="G152" s="9"/>
      <c r="H152" s="9"/>
    </row>
    <row r="153" spans="1:8" x14ac:dyDescent="0.15">
      <c r="A153" s="11"/>
      <c r="B153" s="12"/>
      <c r="C153" s="12"/>
      <c r="D153" s="12"/>
      <c r="E153" s="12"/>
      <c r="F153" s="12"/>
      <c r="G153" s="9"/>
      <c r="H153" s="9"/>
    </row>
    <row r="154" spans="1:8" x14ac:dyDescent="0.15">
      <c r="A154" s="11"/>
      <c r="B154" s="12"/>
      <c r="C154" s="12"/>
      <c r="D154" s="12"/>
      <c r="E154" s="12"/>
      <c r="F154" s="12"/>
      <c r="G154" s="9"/>
      <c r="H154" s="9"/>
    </row>
    <row r="155" spans="1:8" x14ac:dyDescent="0.15">
      <c r="A155" s="11"/>
      <c r="B155" s="12"/>
      <c r="C155" s="12"/>
      <c r="D155" s="12"/>
      <c r="E155" s="12"/>
      <c r="F155" s="12"/>
      <c r="G155" s="9"/>
      <c r="H155" s="9"/>
    </row>
    <row r="156" spans="1:8" x14ac:dyDescent="0.15">
      <c r="A156" s="11"/>
      <c r="B156" s="12"/>
      <c r="C156" s="12"/>
      <c r="D156" s="12"/>
      <c r="E156" s="12"/>
      <c r="F156" s="12"/>
      <c r="G156" s="9"/>
      <c r="H156" s="9"/>
    </row>
    <row r="157" spans="1:8" x14ac:dyDescent="0.15">
      <c r="A157" s="11"/>
      <c r="B157" s="12"/>
      <c r="C157" s="12"/>
      <c r="D157" s="12"/>
      <c r="E157" s="12"/>
      <c r="F157" s="12"/>
      <c r="G157" s="9"/>
      <c r="H157" s="9"/>
    </row>
    <row r="158" spans="1:8" x14ac:dyDescent="0.15">
      <c r="A158" s="11"/>
      <c r="B158" s="12"/>
      <c r="C158" s="12"/>
      <c r="D158" s="12"/>
      <c r="E158" s="12"/>
      <c r="F158" s="12"/>
      <c r="G158" s="9"/>
      <c r="H158" s="9"/>
    </row>
    <row r="159" spans="1:8" x14ac:dyDescent="0.15">
      <c r="A159" s="11"/>
      <c r="B159" s="12"/>
      <c r="C159" s="12"/>
      <c r="D159" s="12"/>
      <c r="E159" s="12"/>
      <c r="F159" s="12"/>
      <c r="G159" s="9"/>
      <c r="H159" s="9"/>
    </row>
    <row r="160" spans="1:8" x14ac:dyDescent="0.15">
      <c r="A160" s="11"/>
      <c r="B160" s="12"/>
      <c r="C160" s="12"/>
      <c r="D160" s="12"/>
      <c r="E160" s="12"/>
      <c r="F160" s="12"/>
      <c r="G160" s="9"/>
      <c r="H160" s="9"/>
    </row>
    <row r="161" spans="1:8" x14ac:dyDescent="0.15">
      <c r="A161" s="11"/>
      <c r="B161" s="12"/>
      <c r="C161" s="12"/>
      <c r="D161" s="12"/>
      <c r="E161" s="12"/>
      <c r="F161" s="12"/>
      <c r="G161" s="9"/>
      <c r="H161" s="9"/>
    </row>
    <row r="162" spans="1:8" x14ac:dyDescent="0.15">
      <c r="A162" s="11"/>
      <c r="B162" s="12"/>
      <c r="C162" s="12"/>
      <c r="D162" s="12"/>
      <c r="E162" s="12"/>
      <c r="F162" s="12"/>
      <c r="G162" s="9"/>
      <c r="H162" s="9"/>
    </row>
    <row r="163" spans="1:8" x14ac:dyDescent="0.15">
      <c r="A163" s="11"/>
      <c r="B163" s="12"/>
      <c r="C163" s="12"/>
      <c r="D163" s="12"/>
      <c r="E163" s="12"/>
      <c r="F163" s="12"/>
      <c r="G163" s="9"/>
      <c r="H163" s="9"/>
    </row>
    <row r="164" spans="1:8" x14ac:dyDescent="0.15">
      <c r="A164" s="11"/>
      <c r="B164" s="12"/>
      <c r="C164" s="12"/>
      <c r="D164" s="12"/>
      <c r="E164" s="12"/>
      <c r="F164" s="12"/>
      <c r="G164" s="9"/>
      <c r="H164" s="9"/>
    </row>
    <row r="165" spans="1:8" x14ac:dyDescent="0.15">
      <c r="A165" s="11"/>
      <c r="B165" s="12"/>
      <c r="C165" s="12"/>
      <c r="D165" s="12"/>
      <c r="E165" s="12"/>
      <c r="F165" s="12"/>
      <c r="G165" s="9"/>
      <c r="H165" s="9"/>
    </row>
    <row r="166" spans="1:8" x14ac:dyDescent="0.15">
      <c r="A166" s="11"/>
      <c r="B166" s="12"/>
      <c r="C166" s="12"/>
      <c r="D166" s="12"/>
      <c r="E166" s="12"/>
      <c r="F166" s="12"/>
      <c r="G166" s="9"/>
      <c r="H166" s="9"/>
    </row>
    <row r="167" spans="1:8" x14ac:dyDescent="0.15">
      <c r="A167" s="11"/>
      <c r="B167" s="12"/>
      <c r="C167" s="12"/>
      <c r="D167" s="12"/>
      <c r="E167" s="12"/>
      <c r="F167" s="12"/>
      <c r="G167" s="9"/>
      <c r="H167" s="9"/>
    </row>
    <row r="168" spans="1:8" x14ac:dyDescent="0.15">
      <c r="A168" s="11"/>
      <c r="B168" s="12"/>
      <c r="C168" s="12"/>
      <c r="D168" s="12"/>
      <c r="E168" s="12"/>
      <c r="F168" s="12"/>
      <c r="G168" s="9"/>
      <c r="H168" s="9"/>
    </row>
    <row r="169" spans="1:8" x14ac:dyDescent="0.15">
      <c r="A169" s="11"/>
      <c r="B169" s="12"/>
      <c r="C169" s="12"/>
      <c r="D169" s="12"/>
      <c r="E169" s="12"/>
      <c r="F169" s="12"/>
      <c r="G169" s="9"/>
      <c r="H169" s="9"/>
    </row>
    <row r="170" spans="1:8" x14ac:dyDescent="0.15">
      <c r="A170" s="11"/>
      <c r="B170" s="12"/>
      <c r="C170" s="12"/>
      <c r="D170" s="12"/>
      <c r="E170" s="12"/>
      <c r="F170" s="12"/>
      <c r="G170" s="9"/>
      <c r="H170" s="9"/>
    </row>
    <row r="171" spans="1:8" x14ac:dyDescent="0.15">
      <c r="A171" s="11"/>
      <c r="B171" s="12"/>
      <c r="C171" s="12"/>
      <c r="D171" s="12"/>
      <c r="E171" s="12"/>
      <c r="F171" s="12"/>
      <c r="G171" s="9"/>
      <c r="H171" s="9"/>
    </row>
    <row r="172" spans="1:8" x14ac:dyDescent="0.15">
      <c r="A172" s="11"/>
      <c r="B172" s="12"/>
      <c r="C172" s="12"/>
      <c r="D172" s="12"/>
      <c r="E172" s="12"/>
      <c r="F172" s="12"/>
      <c r="G172" s="9"/>
      <c r="H172" s="9"/>
    </row>
    <row r="173" spans="1:8" x14ac:dyDescent="0.15">
      <c r="A173" s="11"/>
      <c r="B173" s="12"/>
      <c r="C173" s="12"/>
      <c r="D173" s="12"/>
      <c r="E173" s="12"/>
      <c r="F173" s="12"/>
      <c r="G173" s="9"/>
      <c r="H173" s="9"/>
    </row>
    <row r="174" spans="1:8" x14ac:dyDescent="0.15">
      <c r="A174" s="11"/>
      <c r="B174" s="12"/>
      <c r="C174" s="12"/>
      <c r="D174" s="12"/>
      <c r="E174" s="12"/>
      <c r="F174" s="12"/>
      <c r="G174" s="9"/>
      <c r="H174" s="9"/>
    </row>
    <row r="175" spans="1:8" x14ac:dyDescent="0.15">
      <c r="A175" s="11"/>
      <c r="B175" s="12"/>
      <c r="C175" s="12"/>
      <c r="D175" s="12"/>
      <c r="E175" s="12"/>
      <c r="F175" s="12"/>
      <c r="G175" s="9"/>
      <c r="H175" s="9"/>
    </row>
    <row r="176" spans="1:8" x14ac:dyDescent="0.15">
      <c r="A176" s="11"/>
      <c r="B176" s="12"/>
      <c r="C176" s="12"/>
      <c r="D176" s="12"/>
      <c r="E176" s="12"/>
      <c r="F176" s="12"/>
      <c r="G176" s="9"/>
      <c r="H176" s="9"/>
    </row>
    <row r="177" spans="1:8" x14ac:dyDescent="0.15">
      <c r="A177" s="11"/>
      <c r="B177" s="12"/>
      <c r="C177" s="12"/>
      <c r="D177" s="12"/>
      <c r="E177" s="12"/>
      <c r="F177" s="12"/>
      <c r="G177" s="9"/>
      <c r="H177" s="9"/>
    </row>
    <row r="178" spans="1:8" x14ac:dyDescent="0.15">
      <c r="A178" s="11"/>
      <c r="B178" s="12"/>
      <c r="C178" s="12"/>
      <c r="D178" s="12"/>
      <c r="E178" s="12"/>
      <c r="F178" s="12"/>
      <c r="G178" s="9"/>
      <c r="H178" s="9"/>
    </row>
    <row r="179" spans="1:8" x14ac:dyDescent="0.15">
      <c r="A179" s="11"/>
      <c r="B179" s="12"/>
      <c r="C179" s="12"/>
      <c r="D179" s="12"/>
      <c r="E179" s="12"/>
      <c r="F179" s="12"/>
      <c r="G179" s="9"/>
      <c r="H179" s="9"/>
    </row>
    <row r="180" spans="1:8" x14ac:dyDescent="0.15">
      <c r="A180" s="11"/>
      <c r="B180" s="12"/>
      <c r="C180" s="12"/>
      <c r="D180" s="12"/>
      <c r="E180" s="12"/>
      <c r="F180" s="12"/>
      <c r="G180" s="9"/>
      <c r="H180" s="9"/>
    </row>
    <row r="181" spans="1:8" x14ac:dyDescent="0.15">
      <c r="A181" s="11"/>
      <c r="B181" s="12"/>
      <c r="C181" s="12"/>
      <c r="D181" s="12"/>
      <c r="E181" s="12"/>
      <c r="F181" s="12"/>
      <c r="G181" s="9"/>
      <c r="H181" s="9"/>
    </row>
    <row r="182" spans="1:8" x14ac:dyDescent="0.15">
      <c r="A182" s="11"/>
      <c r="B182" s="12"/>
      <c r="C182" s="12"/>
      <c r="D182" s="12"/>
      <c r="E182" s="12"/>
      <c r="F182" s="12"/>
      <c r="G182" s="9"/>
      <c r="H182" s="9"/>
    </row>
    <row r="183" spans="1:8" x14ac:dyDescent="0.15">
      <c r="A183" s="11"/>
      <c r="B183" s="12"/>
      <c r="C183" s="12"/>
      <c r="D183" s="12"/>
      <c r="E183" s="12"/>
      <c r="F183" s="12"/>
      <c r="G183" s="9"/>
      <c r="H183" s="9"/>
    </row>
    <row r="184" spans="1:8" x14ac:dyDescent="0.15">
      <c r="A184" s="11"/>
      <c r="B184" s="12"/>
      <c r="C184" s="12"/>
      <c r="D184" s="12"/>
      <c r="E184" s="12"/>
      <c r="F184" s="12"/>
      <c r="G184" s="9"/>
      <c r="H184" s="9"/>
    </row>
    <row r="185" spans="1:8" x14ac:dyDescent="0.15">
      <c r="A185" s="11"/>
      <c r="B185" s="12"/>
      <c r="C185" s="12"/>
      <c r="D185" s="12"/>
      <c r="E185" s="12"/>
      <c r="F185" s="12"/>
      <c r="G185" s="9"/>
      <c r="H185" s="9"/>
    </row>
    <row r="186" spans="1:8" x14ac:dyDescent="0.15">
      <c r="A186" s="11"/>
      <c r="B186" s="12"/>
      <c r="C186" s="12"/>
      <c r="D186" s="12"/>
      <c r="E186" s="12"/>
      <c r="F186" s="12"/>
      <c r="G186" s="9"/>
      <c r="H186" s="9"/>
    </row>
    <row r="187" spans="1:8" x14ac:dyDescent="0.15">
      <c r="A187" s="11"/>
      <c r="B187" s="12"/>
      <c r="C187" s="12"/>
      <c r="D187" s="12"/>
      <c r="E187" s="12"/>
      <c r="F187" s="12"/>
      <c r="G187" s="9"/>
      <c r="H187" s="9"/>
    </row>
    <row r="188" spans="1:8" x14ac:dyDescent="0.15">
      <c r="A188" s="11"/>
      <c r="B188" s="12"/>
      <c r="C188" s="12"/>
      <c r="D188" s="12"/>
      <c r="E188" s="12"/>
      <c r="F188" s="12"/>
      <c r="G188" s="9"/>
      <c r="H188" s="9"/>
    </row>
    <row r="189" spans="1:8" x14ac:dyDescent="0.15">
      <c r="A189" s="11"/>
      <c r="B189" s="12"/>
      <c r="C189" s="12"/>
      <c r="D189" s="12"/>
      <c r="E189" s="12"/>
      <c r="F189" s="12"/>
      <c r="G189" s="9"/>
      <c r="H189" s="9"/>
    </row>
    <row r="190" spans="1:8" x14ac:dyDescent="0.15">
      <c r="A190" s="11"/>
      <c r="B190" s="12"/>
      <c r="C190" s="12"/>
      <c r="D190" s="12"/>
      <c r="E190" s="12"/>
      <c r="F190" s="12"/>
      <c r="G190" s="9"/>
      <c r="H190" s="9"/>
    </row>
    <row r="191" spans="1:8" x14ac:dyDescent="0.15">
      <c r="A191" s="11"/>
      <c r="B191" s="12"/>
      <c r="C191" s="12"/>
      <c r="D191" s="12"/>
      <c r="E191" s="12"/>
      <c r="F191" s="12"/>
      <c r="G191" s="9"/>
      <c r="H191" s="9"/>
    </row>
    <row r="192" spans="1:8" x14ac:dyDescent="0.15">
      <c r="A192" s="11"/>
      <c r="B192" s="12"/>
      <c r="C192" s="12"/>
      <c r="D192" s="12"/>
      <c r="E192" s="12"/>
      <c r="F192" s="12"/>
      <c r="G192" s="9"/>
      <c r="H192" s="9"/>
    </row>
    <row r="193" spans="1:8" x14ac:dyDescent="0.15">
      <c r="A193" s="11"/>
      <c r="B193" s="12"/>
      <c r="C193" s="12"/>
      <c r="D193" s="12"/>
      <c r="E193" s="12"/>
      <c r="F193" s="12"/>
      <c r="G193" s="9"/>
      <c r="H193" s="9"/>
    </row>
    <row r="194" spans="1:8" x14ac:dyDescent="0.15">
      <c r="A194" s="11"/>
      <c r="B194" s="12"/>
      <c r="C194" s="12"/>
      <c r="D194" s="12"/>
      <c r="E194" s="12"/>
      <c r="F194" s="12"/>
      <c r="G194" s="9"/>
      <c r="H194" s="9"/>
    </row>
    <row r="195" spans="1:8" x14ac:dyDescent="0.15">
      <c r="A195" s="11"/>
      <c r="B195" s="12"/>
      <c r="C195" s="12"/>
      <c r="D195" s="12"/>
      <c r="E195" s="12"/>
      <c r="F195" s="12"/>
      <c r="G195" s="9"/>
      <c r="H195" s="9"/>
    </row>
    <row r="196" spans="1:8" x14ac:dyDescent="0.15">
      <c r="A196" s="11"/>
      <c r="B196" s="12"/>
      <c r="C196" s="12"/>
      <c r="D196" s="12"/>
      <c r="E196" s="12"/>
      <c r="F196" s="12"/>
      <c r="G196" s="9"/>
      <c r="H196" s="9"/>
    </row>
    <row r="197" spans="1:8" x14ac:dyDescent="0.15">
      <c r="A197" s="11"/>
      <c r="B197" s="12"/>
      <c r="C197" s="12"/>
      <c r="D197" s="12"/>
      <c r="E197" s="12"/>
      <c r="F197" s="12"/>
      <c r="G197" s="9"/>
      <c r="H197" s="9"/>
    </row>
    <row r="198" spans="1:8" x14ac:dyDescent="0.15">
      <c r="A198" s="11"/>
      <c r="B198" s="12"/>
      <c r="C198" s="12"/>
      <c r="D198" s="12"/>
      <c r="E198" s="12"/>
      <c r="F198" s="12"/>
      <c r="G198" s="9"/>
      <c r="H198" s="9"/>
    </row>
    <row r="199" spans="1:8" x14ac:dyDescent="0.15">
      <c r="A199" s="11"/>
      <c r="B199" s="12"/>
      <c r="C199" s="12"/>
      <c r="D199" s="12"/>
      <c r="E199" s="12"/>
      <c r="F199" s="12"/>
      <c r="G199" s="9"/>
      <c r="H199" s="9"/>
    </row>
    <row r="200" spans="1:8" x14ac:dyDescent="0.15">
      <c r="A200" s="11"/>
      <c r="B200" s="12"/>
      <c r="C200" s="12"/>
      <c r="D200" s="12"/>
      <c r="E200" s="12"/>
      <c r="F200" s="12"/>
      <c r="G200" s="9"/>
      <c r="H200" s="9"/>
    </row>
    <row r="201" spans="1:8" x14ac:dyDescent="0.15">
      <c r="A201" s="11"/>
      <c r="B201" s="12"/>
      <c r="C201" s="12"/>
      <c r="D201" s="12"/>
      <c r="E201" s="12"/>
      <c r="F201" s="12"/>
      <c r="G201" s="9"/>
      <c r="H201" s="9"/>
    </row>
    <row r="202" spans="1:8" x14ac:dyDescent="0.15">
      <c r="A202" s="11"/>
      <c r="B202" s="12"/>
      <c r="C202" s="12"/>
      <c r="D202" s="12"/>
      <c r="E202" s="12"/>
      <c r="F202" s="12"/>
      <c r="G202" s="9"/>
      <c r="H202" s="9"/>
    </row>
    <row r="203" spans="1:8" x14ac:dyDescent="0.15">
      <c r="A203" s="11"/>
      <c r="B203" s="12"/>
      <c r="C203" s="12"/>
      <c r="D203" s="12"/>
      <c r="E203" s="12"/>
      <c r="F203" s="12"/>
      <c r="G203" s="9"/>
      <c r="H203" s="9"/>
    </row>
    <row r="204" spans="1:8" x14ac:dyDescent="0.15">
      <c r="A204" s="11"/>
      <c r="B204" s="12"/>
      <c r="C204" s="12"/>
      <c r="D204" s="12"/>
      <c r="E204" s="12"/>
      <c r="F204" s="12"/>
      <c r="G204" s="9"/>
      <c r="H204" s="9"/>
    </row>
    <row r="205" spans="1:8" x14ac:dyDescent="0.15">
      <c r="A205" s="11"/>
      <c r="B205" s="12"/>
      <c r="C205" s="12"/>
      <c r="D205" s="12"/>
      <c r="E205" s="12"/>
      <c r="F205" s="12"/>
      <c r="G205" s="9"/>
      <c r="H205" s="9"/>
    </row>
    <row r="206" spans="1:8" x14ac:dyDescent="0.15">
      <c r="A206" s="11"/>
      <c r="B206" s="12"/>
      <c r="C206" s="12"/>
      <c r="D206" s="12"/>
      <c r="E206" s="12"/>
      <c r="F206" s="12"/>
      <c r="G206" s="9"/>
      <c r="H206" s="9"/>
    </row>
    <row r="207" spans="1:8" x14ac:dyDescent="0.15">
      <c r="A207" s="11"/>
      <c r="B207" s="12"/>
      <c r="C207" s="12"/>
      <c r="D207" s="12"/>
      <c r="E207" s="12"/>
      <c r="F207" s="12"/>
      <c r="G207" s="9"/>
      <c r="H207" s="9"/>
    </row>
    <row r="208" spans="1:8" x14ac:dyDescent="0.15">
      <c r="A208" s="11"/>
      <c r="B208" s="12"/>
      <c r="C208" s="12"/>
      <c r="D208" s="12"/>
      <c r="E208" s="12"/>
      <c r="F208" s="12"/>
      <c r="G208" s="9"/>
      <c r="H208" s="9"/>
    </row>
    <row r="209" spans="1:8" x14ac:dyDescent="0.15">
      <c r="A209" s="11"/>
      <c r="B209" s="12"/>
      <c r="C209" s="12"/>
      <c r="D209" s="12"/>
      <c r="E209" s="12"/>
      <c r="F209" s="12"/>
      <c r="G209" s="9"/>
      <c r="H209" s="9"/>
    </row>
    <row r="210" spans="1:8" x14ac:dyDescent="0.15">
      <c r="A210" s="11"/>
      <c r="B210" s="12"/>
      <c r="C210" s="12"/>
      <c r="D210" s="12"/>
      <c r="E210" s="12"/>
      <c r="F210" s="12"/>
      <c r="G210" s="9"/>
      <c r="H210" s="9"/>
    </row>
    <row r="211" spans="1:8" x14ac:dyDescent="0.15">
      <c r="A211" s="11"/>
      <c r="B211" s="12"/>
      <c r="C211" s="12"/>
      <c r="D211" s="12"/>
      <c r="E211" s="12"/>
      <c r="F211" s="12"/>
      <c r="G211" s="9"/>
      <c r="H211" s="9"/>
    </row>
    <row r="212" spans="1:8" x14ac:dyDescent="0.15">
      <c r="A212" s="11"/>
      <c r="B212" s="12"/>
      <c r="C212" s="12"/>
      <c r="D212" s="12"/>
      <c r="E212" s="12"/>
      <c r="F212" s="12"/>
      <c r="G212" s="9"/>
      <c r="H212" s="9"/>
    </row>
    <row r="213" spans="1:8" x14ac:dyDescent="0.15">
      <c r="A213" s="11"/>
      <c r="B213" s="12"/>
      <c r="C213" s="12"/>
      <c r="D213" s="12"/>
      <c r="E213" s="12"/>
      <c r="F213" s="12"/>
      <c r="G213" s="9"/>
      <c r="H213" s="9"/>
    </row>
    <row r="214" spans="1:8" x14ac:dyDescent="0.15">
      <c r="A214" s="11"/>
      <c r="B214" s="12"/>
      <c r="C214" s="12"/>
      <c r="D214" s="12"/>
      <c r="E214" s="12"/>
      <c r="F214" s="12"/>
      <c r="G214" s="9"/>
      <c r="H214" s="9"/>
    </row>
    <row r="215" spans="1:8" x14ac:dyDescent="0.15">
      <c r="A215" s="11"/>
      <c r="B215" s="12"/>
      <c r="C215" s="12"/>
      <c r="D215" s="12"/>
      <c r="E215" s="12"/>
      <c r="F215" s="12"/>
      <c r="G215" s="9"/>
      <c r="H215" s="9"/>
    </row>
    <row r="216" spans="1:8" x14ac:dyDescent="0.15">
      <c r="A216" s="11"/>
      <c r="B216" s="12"/>
      <c r="C216" s="12"/>
      <c r="D216" s="12"/>
      <c r="E216" s="12"/>
      <c r="F216" s="12"/>
      <c r="G216" s="9"/>
      <c r="H216" s="9"/>
    </row>
    <row r="217" spans="1:8" x14ac:dyDescent="0.15">
      <c r="A217" s="11"/>
      <c r="B217" s="12"/>
      <c r="C217" s="12"/>
      <c r="D217" s="12"/>
      <c r="E217" s="12"/>
      <c r="F217" s="12"/>
      <c r="G217" s="9"/>
      <c r="H217" s="9"/>
    </row>
    <row r="218" spans="1:8" x14ac:dyDescent="0.15">
      <c r="A218" s="11"/>
      <c r="B218" s="12"/>
      <c r="C218" s="12"/>
      <c r="D218" s="12"/>
      <c r="E218" s="12"/>
      <c r="F218" s="12"/>
      <c r="G218" s="9"/>
      <c r="H218" s="9"/>
    </row>
    <row r="219" spans="1:8" x14ac:dyDescent="0.15">
      <c r="A219" s="11"/>
      <c r="B219" s="12"/>
      <c r="C219" s="12"/>
      <c r="D219" s="12"/>
      <c r="E219" s="12"/>
      <c r="F219" s="12"/>
      <c r="G219" s="9"/>
      <c r="H219" s="9"/>
    </row>
    <row r="220" spans="1:8" x14ac:dyDescent="0.15">
      <c r="A220" s="11"/>
      <c r="B220" s="12"/>
      <c r="C220" s="12"/>
      <c r="D220" s="12"/>
      <c r="E220" s="12"/>
      <c r="F220" s="12"/>
      <c r="G220" s="9"/>
      <c r="H220" s="9"/>
    </row>
    <row r="221" spans="1:8" x14ac:dyDescent="0.15">
      <c r="A221" s="11"/>
      <c r="B221" s="12"/>
      <c r="C221" s="12"/>
      <c r="D221" s="12"/>
      <c r="E221" s="12"/>
      <c r="F221" s="12"/>
      <c r="G221" s="9"/>
      <c r="H221" s="9"/>
    </row>
    <row r="222" spans="1:8" x14ac:dyDescent="0.15">
      <c r="A222" s="11"/>
      <c r="B222" s="12"/>
      <c r="C222" s="12"/>
      <c r="D222" s="12"/>
      <c r="E222" s="12"/>
      <c r="F222" s="12"/>
      <c r="G222" s="9"/>
      <c r="H222" s="9"/>
    </row>
    <row r="223" spans="1:8" x14ac:dyDescent="0.15">
      <c r="A223" s="11"/>
      <c r="B223" s="12"/>
      <c r="C223" s="12"/>
      <c r="D223" s="12"/>
      <c r="E223" s="12"/>
      <c r="F223" s="12"/>
      <c r="G223" s="9"/>
      <c r="H223" s="9"/>
    </row>
    <row r="224" spans="1:8" x14ac:dyDescent="0.15">
      <c r="A224" s="11"/>
      <c r="B224" s="12"/>
      <c r="C224" s="12"/>
      <c r="D224" s="12"/>
      <c r="E224" s="12"/>
      <c r="F224" s="12"/>
      <c r="G224" s="9"/>
      <c r="H224" s="9"/>
    </row>
    <row r="225" spans="1:8" x14ac:dyDescent="0.15">
      <c r="A225" s="11"/>
      <c r="B225" s="12"/>
      <c r="C225" s="12"/>
      <c r="D225" s="12"/>
      <c r="E225" s="12"/>
      <c r="F225" s="12"/>
      <c r="G225" s="9"/>
      <c r="H225" s="9"/>
    </row>
    <row r="226" spans="1:8" x14ac:dyDescent="0.15">
      <c r="A226" s="11"/>
      <c r="B226" s="12"/>
      <c r="C226" s="12"/>
      <c r="D226" s="12"/>
      <c r="E226" s="12"/>
      <c r="F226" s="12"/>
      <c r="G226" s="9"/>
      <c r="H226" s="9"/>
    </row>
    <row r="227" spans="1:8" x14ac:dyDescent="0.15">
      <c r="A227" s="11"/>
      <c r="B227" s="12"/>
      <c r="C227" s="12"/>
      <c r="D227" s="12"/>
      <c r="E227" s="12"/>
      <c r="F227" s="12"/>
      <c r="G227" s="9"/>
      <c r="H227" s="9"/>
    </row>
    <row r="228" spans="1:8" x14ac:dyDescent="0.15">
      <c r="A228" s="11"/>
      <c r="B228" s="12"/>
      <c r="C228" s="12"/>
      <c r="D228" s="12"/>
      <c r="E228" s="12"/>
      <c r="F228" s="12"/>
      <c r="G228" s="9"/>
      <c r="H228" s="9"/>
    </row>
    <row r="229" spans="1:8" x14ac:dyDescent="0.15">
      <c r="A229" s="11"/>
      <c r="B229" s="12"/>
      <c r="C229" s="12"/>
      <c r="D229" s="12"/>
      <c r="E229" s="12"/>
      <c r="F229" s="12"/>
      <c r="G229" s="9"/>
      <c r="H229" s="9"/>
    </row>
    <row r="230" spans="1:8" x14ac:dyDescent="0.15">
      <c r="A230" s="11"/>
      <c r="B230" s="12"/>
      <c r="C230" s="12"/>
      <c r="D230" s="12"/>
      <c r="E230" s="12"/>
      <c r="F230" s="12"/>
      <c r="G230" s="9"/>
      <c r="H230" s="9"/>
    </row>
    <row r="231" spans="1:8" x14ac:dyDescent="0.15">
      <c r="A231" s="11"/>
      <c r="B231" s="12"/>
      <c r="C231" s="12"/>
      <c r="D231" s="12"/>
      <c r="E231" s="12"/>
      <c r="F231" s="12"/>
      <c r="G231" s="9"/>
      <c r="H231" s="9"/>
    </row>
    <row r="232" spans="1:8" x14ac:dyDescent="0.15">
      <c r="A232" s="11"/>
      <c r="B232" s="12"/>
      <c r="C232" s="12"/>
      <c r="D232" s="12"/>
      <c r="E232" s="12"/>
      <c r="F232" s="12"/>
      <c r="G232" s="9"/>
      <c r="H232" s="9"/>
    </row>
  </sheetData>
  <mergeCells count="3">
    <mergeCell ref="A1:C1"/>
    <mergeCell ref="A2:C2"/>
    <mergeCell ref="B3:E3"/>
  </mergeCells>
  <phoneticPr fontId="2" type="noConversion"/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A13" sqref="A13"/>
    </sheetView>
  </sheetViews>
  <sheetFormatPr defaultColWidth="8.875" defaultRowHeight="13.5" x14ac:dyDescent="0.15"/>
  <cols>
    <col min="2" max="2" width="10.5" bestFit="1" customWidth="1"/>
    <col min="3" max="3" width="13" bestFit="1" customWidth="1"/>
  </cols>
  <sheetData>
    <row r="1" spans="1:3" x14ac:dyDescent="0.15">
      <c r="A1" s="35" t="s">
        <v>0</v>
      </c>
      <c r="B1" s="36"/>
      <c r="C1" s="36"/>
    </row>
    <row r="2" spans="1:3" x14ac:dyDescent="0.15">
      <c r="A2" s="35" t="s">
        <v>1</v>
      </c>
      <c r="B2" s="36"/>
      <c r="C2" s="36"/>
    </row>
    <row r="3" spans="1:3" x14ac:dyDescent="0.15">
      <c r="A3" s="4" t="s">
        <v>2</v>
      </c>
      <c r="B3" s="37"/>
      <c r="C3" s="37"/>
    </row>
    <row r="4" spans="1:3" ht="57.75" x14ac:dyDescent="0.15">
      <c r="A4" s="5" t="s">
        <v>3</v>
      </c>
      <c r="B4" s="6" t="s">
        <v>33</v>
      </c>
      <c r="C4" s="6" t="s">
        <v>34</v>
      </c>
    </row>
    <row r="5" spans="1:3" x14ac:dyDescent="0.15">
      <c r="A5" s="8" t="s">
        <v>10</v>
      </c>
      <c r="B5" s="9" t="s">
        <v>11</v>
      </c>
      <c r="C5" s="9" t="s">
        <v>12</v>
      </c>
    </row>
    <row r="6" spans="1:3" x14ac:dyDescent="0.15">
      <c r="A6" s="10" t="s">
        <v>13</v>
      </c>
      <c r="B6" s="9" t="s">
        <v>11</v>
      </c>
      <c r="C6" s="9" t="s">
        <v>12</v>
      </c>
    </row>
    <row r="7" spans="1:3" x14ac:dyDescent="0.15">
      <c r="A7" s="8" t="s">
        <v>14</v>
      </c>
      <c r="B7" s="9" t="s">
        <v>11</v>
      </c>
      <c r="C7" s="9" t="s">
        <v>11</v>
      </c>
    </row>
    <row r="8" spans="1:3" x14ac:dyDescent="0.15">
      <c r="A8" s="10" t="s">
        <v>15</v>
      </c>
      <c r="B8" s="9"/>
      <c r="C8" s="9"/>
    </row>
    <row r="9" spans="1:3" x14ac:dyDescent="0.15">
      <c r="A9" s="8" t="s">
        <v>17</v>
      </c>
      <c r="B9" s="9" t="s">
        <v>35</v>
      </c>
      <c r="C9" s="9" t="s">
        <v>36</v>
      </c>
    </row>
    <row r="10" spans="1:3" x14ac:dyDescent="0.15">
      <c r="A10" s="10" t="s">
        <v>24</v>
      </c>
      <c r="B10" s="9" t="s">
        <v>26</v>
      </c>
      <c r="C10" s="9" t="s">
        <v>37</v>
      </c>
    </row>
    <row r="11" spans="1:3" x14ac:dyDescent="0.15">
      <c r="A11" s="8" t="s">
        <v>27</v>
      </c>
      <c r="B11" s="9" t="s">
        <v>28</v>
      </c>
      <c r="C11" s="9" t="s">
        <v>28</v>
      </c>
    </row>
    <row r="12" spans="1:3" x14ac:dyDescent="0.15">
      <c r="A12" s="11"/>
      <c r="B12" s="12"/>
      <c r="C12" s="12"/>
    </row>
    <row r="13" spans="1:3" x14ac:dyDescent="0.15">
      <c r="A13" s="11" t="s">
        <v>30</v>
      </c>
      <c r="B13" s="12" t="s">
        <v>38</v>
      </c>
      <c r="C13" s="13" t="s">
        <v>39</v>
      </c>
    </row>
    <row r="14" spans="1:3" x14ac:dyDescent="0.15">
      <c r="A14" s="11"/>
      <c r="B14" s="12" t="s">
        <v>40</v>
      </c>
      <c r="C14" s="12">
        <v>-0.5</v>
      </c>
    </row>
    <row r="15" spans="1:3" x14ac:dyDescent="0.15">
      <c r="A15" s="11"/>
      <c r="B15" s="12" t="s">
        <v>41</v>
      </c>
      <c r="C15" s="12">
        <v>-0.75</v>
      </c>
    </row>
  </sheetData>
  <mergeCells count="3">
    <mergeCell ref="A1:C1"/>
    <mergeCell ref="A2:C2"/>
    <mergeCell ref="B3:C3"/>
  </mergeCells>
  <phoneticPr fontId="2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9"/>
  <sheetViews>
    <sheetView tabSelected="1" topLeftCell="N7" workbookViewId="0">
      <selection activeCell="AJ32" sqref="AJ32"/>
    </sheetView>
  </sheetViews>
  <sheetFormatPr defaultColWidth="8.875" defaultRowHeight="13.5" x14ac:dyDescent="0.15"/>
  <cols>
    <col min="2" max="2" width="11" bestFit="1" customWidth="1"/>
    <col min="3" max="3" width="13.875" bestFit="1" customWidth="1"/>
    <col min="4" max="16" width="8.875" customWidth="1"/>
    <col min="17" max="17" width="13.5" customWidth="1"/>
    <col min="18" max="18" width="11.875" customWidth="1"/>
    <col min="19" max="19" width="15.125" customWidth="1"/>
    <col min="20" max="20" width="13.625" customWidth="1"/>
    <col min="21" max="21" width="13.375" customWidth="1"/>
    <col min="22" max="22" width="11" customWidth="1"/>
    <col min="23" max="26" width="8.875" customWidth="1"/>
    <col min="27" max="27" width="15" customWidth="1"/>
    <col min="28" max="28" width="11.125" customWidth="1"/>
    <col min="29" max="30" width="8.875" customWidth="1"/>
    <col min="31" max="31" width="14.5" customWidth="1"/>
    <col min="32" max="32" width="13.125" customWidth="1"/>
    <col min="33" max="33" width="29.375" bestFit="1" customWidth="1"/>
    <col min="34" max="34" width="30.875" customWidth="1"/>
    <col min="35" max="35" width="12.875" customWidth="1"/>
  </cols>
  <sheetData>
    <row r="1" spans="1:35" s="2" customFormat="1" x14ac:dyDescent="0.15">
      <c r="A1" s="17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 spans="1:35" s="2" customFormat="1" x14ac:dyDescent="0.1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5" s="15" customFormat="1" x14ac:dyDescent="0.15">
      <c r="A3" s="18" t="s">
        <v>3</v>
      </c>
      <c r="B3" s="18" t="s">
        <v>42</v>
      </c>
      <c r="C3" s="18" t="s">
        <v>43</v>
      </c>
      <c r="D3" s="18" t="s">
        <v>44</v>
      </c>
      <c r="E3" s="18" t="s">
        <v>120</v>
      </c>
      <c r="F3" s="18" t="s">
        <v>45</v>
      </c>
      <c r="G3" s="18" t="s">
        <v>46</v>
      </c>
      <c r="H3" s="18" t="s">
        <v>47</v>
      </c>
      <c r="I3" s="19" t="s">
        <v>50</v>
      </c>
      <c r="J3" s="19" t="s">
        <v>73</v>
      </c>
      <c r="K3" s="19" t="s">
        <v>48</v>
      </c>
      <c r="L3" s="19" t="s">
        <v>49</v>
      </c>
      <c r="M3" s="19" t="s">
        <v>74</v>
      </c>
      <c r="N3" s="20" t="s">
        <v>51</v>
      </c>
      <c r="O3" s="20" t="s">
        <v>52</v>
      </c>
      <c r="P3" s="20" t="s">
        <v>53</v>
      </c>
      <c r="Q3" s="20" t="s">
        <v>54</v>
      </c>
      <c r="R3" s="25" t="s">
        <v>84</v>
      </c>
      <c r="S3" s="25" t="s">
        <v>85</v>
      </c>
      <c r="T3" s="25" t="s">
        <v>86</v>
      </c>
      <c r="U3" s="25" t="s">
        <v>87</v>
      </c>
      <c r="V3" s="25" t="s">
        <v>88</v>
      </c>
      <c r="W3" s="25" t="s">
        <v>89</v>
      </c>
      <c r="X3" s="25" t="s">
        <v>90</v>
      </c>
      <c r="Y3" s="25" t="s">
        <v>91</v>
      </c>
      <c r="Z3" s="25" t="s">
        <v>92</v>
      </c>
      <c r="AA3" s="25" t="s">
        <v>93</v>
      </c>
      <c r="AB3" s="25" t="s">
        <v>94</v>
      </c>
      <c r="AC3" s="25" t="s">
        <v>97</v>
      </c>
      <c r="AD3" s="25" t="s">
        <v>98</v>
      </c>
      <c r="AE3" s="25" t="s">
        <v>95</v>
      </c>
      <c r="AF3" s="25" t="s">
        <v>96</v>
      </c>
      <c r="AG3" s="22" t="s">
        <v>55</v>
      </c>
      <c r="AH3" s="22" t="s">
        <v>123</v>
      </c>
      <c r="AI3" s="22" t="s">
        <v>241</v>
      </c>
    </row>
    <row r="4" spans="1:35" s="15" customFormat="1" x14ac:dyDescent="0.15">
      <c r="A4" s="8" t="s">
        <v>10</v>
      </c>
      <c r="B4" s="18" t="s">
        <v>11</v>
      </c>
      <c r="C4" s="18"/>
      <c r="D4" s="18"/>
      <c r="E4" s="18"/>
      <c r="F4" s="18"/>
      <c r="G4" s="18"/>
      <c r="H4" s="18"/>
      <c r="I4" s="19"/>
      <c r="J4" s="19"/>
      <c r="K4" s="19"/>
      <c r="L4" s="19"/>
      <c r="M4" s="19"/>
      <c r="N4" s="20"/>
      <c r="O4" s="20"/>
      <c r="P4" s="20"/>
      <c r="Q4" s="20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2"/>
      <c r="AH4" s="22"/>
      <c r="AI4" s="22"/>
    </row>
    <row r="5" spans="1:35" s="15" customFormat="1" x14ac:dyDescent="0.15">
      <c r="A5" s="10" t="s">
        <v>13</v>
      </c>
      <c r="B5" s="18" t="s">
        <v>11</v>
      </c>
      <c r="C5" s="18"/>
      <c r="D5" s="18"/>
      <c r="E5" s="18"/>
      <c r="F5" s="18"/>
      <c r="G5" s="18"/>
      <c r="H5" s="18"/>
      <c r="I5" s="19"/>
      <c r="J5" s="19"/>
      <c r="K5" s="19"/>
      <c r="L5" s="19"/>
      <c r="M5" s="19"/>
      <c r="N5" s="20"/>
      <c r="O5" s="20"/>
      <c r="P5" s="20"/>
      <c r="Q5" s="20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2"/>
      <c r="AH5" s="22"/>
      <c r="AI5" s="22"/>
    </row>
    <row r="6" spans="1:35" s="15" customFormat="1" x14ac:dyDescent="0.15">
      <c r="A6" s="8" t="s">
        <v>14</v>
      </c>
      <c r="B6" s="18" t="s">
        <v>11</v>
      </c>
      <c r="C6" s="18"/>
      <c r="D6" s="18"/>
      <c r="E6" s="18"/>
      <c r="F6" s="18" t="s">
        <v>11</v>
      </c>
      <c r="G6" s="18"/>
      <c r="H6" s="18"/>
      <c r="I6" s="19"/>
      <c r="J6" s="19"/>
      <c r="K6" s="19"/>
      <c r="L6" s="19"/>
      <c r="M6" s="19"/>
      <c r="N6" s="20"/>
      <c r="O6" s="20"/>
      <c r="P6" s="20"/>
      <c r="Q6" s="20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2"/>
      <c r="AH6" s="22"/>
      <c r="AI6" s="22"/>
    </row>
    <row r="7" spans="1:35" s="15" customFormat="1" x14ac:dyDescent="0.15">
      <c r="A7" s="10" t="s">
        <v>15</v>
      </c>
      <c r="B7" s="18"/>
      <c r="C7" s="18"/>
      <c r="D7" s="18"/>
      <c r="E7" s="18"/>
      <c r="F7" s="18"/>
      <c r="G7" s="18"/>
      <c r="H7" s="18"/>
      <c r="I7" s="19"/>
      <c r="J7" s="19"/>
      <c r="K7" s="19"/>
      <c r="L7" s="19"/>
      <c r="M7" s="19"/>
      <c r="N7" s="20"/>
      <c r="O7" s="20"/>
      <c r="P7" s="20"/>
      <c r="Q7" s="20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2"/>
      <c r="AH7" s="22"/>
      <c r="AI7" s="22"/>
    </row>
    <row r="8" spans="1:35" s="15" customFormat="1" x14ac:dyDescent="0.15">
      <c r="A8" s="18" t="s">
        <v>17</v>
      </c>
      <c r="B8" s="18" t="s">
        <v>35</v>
      </c>
      <c r="C8" s="18" t="s">
        <v>56</v>
      </c>
      <c r="D8" s="18" t="s">
        <v>57</v>
      </c>
      <c r="E8" s="18" t="s">
        <v>122</v>
      </c>
      <c r="F8" s="18" t="s">
        <v>58</v>
      </c>
      <c r="G8" s="18" t="s">
        <v>59</v>
      </c>
      <c r="H8" s="18" t="s">
        <v>60</v>
      </c>
      <c r="I8" s="19" t="s">
        <v>64</v>
      </c>
      <c r="J8" s="19" t="s">
        <v>61</v>
      </c>
      <c r="K8" s="19" t="s">
        <v>62</v>
      </c>
      <c r="L8" s="19" t="s">
        <v>63</v>
      </c>
      <c r="M8" s="19" t="s">
        <v>75</v>
      </c>
      <c r="N8" s="20" t="s">
        <v>80</v>
      </c>
      <c r="O8" s="20" t="s">
        <v>81</v>
      </c>
      <c r="P8" s="20" t="s">
        <v>82</v>
      </c>
      <c r="Q8" s="20" t="s">
        <v>83</v>
      </c>
      <c r="R8" s="21" t="s">
        <v>99</v>
      </c>
      <c r="S8" s="21" t="s">
        <v>100</v>
      </c>
      <c r="T8" s="21" t="s">
        <v>101</v>
      </c>
      <c r="U8" s="21" t="s">
        <v>113</v>
      </c>
      <c r="V8" s="21" t="s">
        <v>65</v>
      </c>
      <c r="W8" s="21" t="s">
        <v>66</v>
      </c>
      <c r="X8" s="21" t="s">
        <v>67</v>
      </c>
      <c r="Y8" s="21" t="s">
        <v>103</v>
      </c>
      <c r="Z8" s="21" t="s">
        <v>111</v>
      </c>
      <c r="AA8" s="21" t="s">
        <v>112</v>
      </c>
      <c r="AB8" s="21" t="s">
        <v>106</v>
      </c>
      <c r="AC8" s="21" t="s">
        <v>107</v>
      </c>
      <c r="AD8" s="21" t="s">
        <v>108</v>
      </c>
      <c r="AE8" s="21" t="s">
        <v>109</v>
      </c>
      <c r="AF8" s="21" t="s">
        <v>110</v>
      </c>
      <c r="AG8" s="22" t="s">
        <v>68</v>
      </c>
      <c r="AH8" s="22" t="s">
        <v>124</v>
      </c>
      <c r="AI8" s="22" t="s">
        <v>158</v>
      </c>
    </row>
    <row r="9" spans="1:35" s="15" customFormat="1" x14ac:dyDescent="0.15">
      <c r="A9" s="10" t="s">
        <v>24</v>
      </c>
      <c r="B9" s="18" t="s">
        <v>25</v>
      </c>
      <c r="C9" s="18" t="s">
        <v>69</v>
      </c>
      <c r="D9" s="18" t="s">
        <v>25</v>
      </c>
      <c r="E9" s="18" t="s">
        <v>121</v>
      </c>
      <c r="F9" s="18" t="s">
        <v>69</v>
      </c>
      <c r="G9" s="18" t="s">
        <v>69</v>
      </c>
      <c r="H9" s="18" t="s">
        <v>25</v>
      </c>
      <c r="I9" s="19" t="s">
        <v>37</v>
      </c>
      <c r="J9" s="19" t="s">
        <v>37</v>
      </c>
      <c r="K9" s="19" t="s">
        <v>37</v>
      </c>
      <c r="L9" s="19" t="s">
        <v>37</v>
      </c>
      <c r="M9" s="19" t="s">
        <v>37</v>
      </c>
      <c r="N9" s="20" t="s">
        <v>37</v>
      </c>
      <c r="O9" s="20" t="s">
        <v>37</v>
      </c>
      <c r="P9" s="20" t="s">
        <v>37</v>
      </c>
      <c r="Q9" s="20" t="s">
        <v>37</v>
      </c>
      <c r="R9" s="21" t="s">
        <v>37</v>
      </c>
      <c r="S9" s="21" t="s">
        <v>37</v>
      </c>
      <c r="T9" s="21" t="s">
        <v>37</v>
      </c>
      <c r="U9" s="21" t="s">
        <v>37</v>
      </c>
      <c r="V9" s="21" t="s">
        <v>37</v>
      </c>
      <c r="W9" s="21" t="s">
        <v>37</v>
      </c>
      <c r="X9" s="21" t="s">
        <v>37</v>
      </c>
      <c r="Y9" s="21" t="s">
        <v>37</v>
      </c>
      <c r="Z9" s="21" t="s">
        <v>37</v>
      </c>
      <c r="AA9" s="21" t="s">
        <v>37</v>
      </c>
      <c r="AB9" s="21" t="s">
        <v>37</v>
      </c>
      <c r="AC9" s="21" t="s">
        <v>37</v>
      </c>
      <c r="AD9" s="21" t="s">
        <v>37</v>
      </c>
      <c r="AE9" s="21" t="s">
        <v>37</v>
      </c>
      <c r="AF9" s="21" t="s">
        <v>37</v>
      </c>
      <c r="AG9" s="22" t="s">
        <v>26</v>
      </c>
      <c r="AH9" s="22" t="s">
        <v>145</v>
      </c>
      <c r="AI9" s="22" t="s">
        <v>121</v>
      </c>
    </row>
    <row r="10" spans="1:35" s="15" customFormat="1" x14ac:dyDescent="0.15">
      <c r="A10" s="8" t="s">
        <v>27</v>
      </c>
      <c r="B10" s="18" t="s">
        <v>28</v>
      </c>
      <c r="C10" s="18" t="s">
        <v>28</v>
      </c>
      <c r="D10" s="18" t="s">
        <v>28</v>
      </c>
      <c r="E10" s="18" t="s">
        <v>28</v>
      </c>
      <c r="F10" s="18" t="s">
        <v>70</v>
      </c>
      <c r="G10" s="18" t="s">
        <v>70</v>
      </c>
      <c r="H10" s="18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20" t="s">
        <v>28</v>
      </c>
      <c r="O10" s="20" t="s">
        <v>28</v>
      </c>
      <c r="P10" s="20" t="s">
        <v>28</v>
      </c>
      <c r="Q10" s="20" t="s">
        <v>28</v>
      </c>
      <c r="R10" s="21" t="s">
        <v>28</v>
      </c>
      <c r="S10" s="21" t="s">
        <v>28</v>
      </c>
      <c r="T10" s="21" t="s">
        <v>28</v>
      </c>
      <c r="U10" s="21" t="s">
        <v>28</v>
      </c>
      <c r="V10" s="21" t="s">
        <v>28</v>
      </c>
      <c r="W10" s="21" t="s">
        <v>28</v>
      </c>
      <c r="X10" s="21" t="s">
        <v>28</v>
      </c>
      <c r="Y10" s="21" t="s">
        <v>28</v>
      </c>
      <c r="Z10" s="21" t="s">
        <v>28</v>
      </c>
      <c r="AA10" s="21" t="s">
        <v>28</v>
      </c>
      <c r="AB10" s="21" t="s">
        <v>28</v>
      </c>
      <c r="AC10" s="21" t="s">
        <v>28</v>
      </c>
      <c r="AD10" s="21" t="s">
        <v>28</v>
      </c>
      <c r="AE10" s="21" t="s">
        <v>28</v>
      </c>
      <c r="AF10" s="21" t="s">
        <v>28</v>
      </c>
      <c r="AG10" s="22" t="s">
        <v>28</v>
      </c>
      <c r="AH10" s="22" t="s">
        <v>28</v>
      </c>
      <c r="AI10" s="22" t="s">
        <v>148</v>
      </c>
    </row>
    <row r="11" spans="1:35" s="15" customFormat="1" x14ac:dyDescent="0.15">
      <c r="A11" s="18"/>
      <c r="B11" s="18"/>
      <c r="C11" s="18"/>
      <c r="D11" s="18"/>
      <c r="E11" s="18"/>
      <c r="F11" s="18"/>
      <c r="G11" s="18"/>
      <c r="H11" s="18"/>
      <c r="I11" s="19"/>
      <c r="J11" s="19"/>
      <c r="K11" s="19"/>
      <c r="L11" s="19"/>
      <c r="M11" s="19"/>
      <c r="N11" s="20"/>
      <c r="O11" s="20"/>
      <c r="P11" s="20"/>
      <c r="Q11" s="20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2"/>
      <c r="AH11" s="22"/>
      <c r="AI11" s="22"/>
    </row>
    <row r="12" spans="1:35" s="15" customFormat="1" x14ac:dyDescent="0.15">
      <c r="A12" s="18" t="s">
        <v>232</v>
      </c>
      <c r="B12" s="18" t="s">
        <v>71</v>
      </c>
      <c r="C12" s="18" t="s">
        <v>72</v>
      </c>
      <c r="D12" s="18"/>
      <c r="E12" s="18"/>
      <c r="F12" s="18"/>
      <c r="G12" s="18"/>
      <c r="H12" s="18"/>
      <c r="I12" s="19"/>
      <c r="J12" s="19"/>
      <c r="K12" s="19"/>
      <c r="L12" s="19"/>
      <c r="M12" s="19"/>
      <c r="N12" s="20"/>
      <c r="O12" s="20"/>
      <c r="P12" s="20"/>
      <c r="Q12" s="20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2"/>
      <c r="AH12" s="22"/>
      <c r="AI12" s="22"/>
    </row>
    <row r="13" spans="1:35" ht="16.5" x14ac:dyDescent="0.3">
      <c r="A13" s="18" t="s">
        <v>76</v>
      </c>
      <c r="B13" s="18">
        <v>1000</v>
      </c>
      <c r="C13" s="18" t="s">
        <v>78</v>
      </c>
      <c r="D13" s="18">
        <v>1</v>
      </c>
      <c r="E13" s="18">
        <v>2</v>
      </c>
      <c r="F13" s="18">
        <v>10000</v>
      </c>
      <c r="G13" s="18">
        <v>10000</v>
      </c>
      <c r="H13" s="18">
        <v>1</v>
      </c>
      <c r="I13" s="26">
        <v>12800</v>
      </c>
      <c r="J13" s="19">
        <v>1600</v>
      </c>
      <c r="K13" s="19">
        <v>960</v>
      </c>
      <c r="L13" s="19">
        <v>960</v>
      </c>
      <c r="M13" s="19">
        <v>60</v>
      </c>
      <c r="N13" s="20">
        <v>84</v>
      </c>
      <c r="O13" s="20">
        <v>50</v>
      </c>
      <c r="P13" s="20">
        <v>50</v>
      </c>
      <c r="Q13" s="20">
        <v>678</v>
      </c>
      <c r="R13" s="27">
        <v>1E-4</v>
      </c>
      <c r="S13" s="27">
        <v>1E-4</v>
      </c>
      <c r="T13" s="27">
        <v>1E-4</v>
      </c>
      <c r="U13" s="27">
        <v>1E-4</v>
      </c>
      <c r="V13" s="27">
        <v>1E-4</v>
      </c>
      <c r="W13" s="27">
        <v>1E-4</v>
      </c>
      <c r="X13" s="27">
        <v>1E-4</v>
      </c>
      <c r="Y13" s="27">
        <v>1E-4</v>
      </c>
      <c r="Z13" s="27">
        <v>1E-4</v>
      </c>
      <c r="AA13" s="27">
        <v>1E-4</v>
      </c>
      <c r="AB13" s="27">
        <v>1E-4</v>
      </c>
      <c r="AC13" s="28">
        <v>1</v>
      </c>
      <c r="AD13" s="28">
        <v>1</v>
      </c>
      <c r="AE13" s="27">
        <v>1E-4</v>
      </c>
      <c r="AF13" s="27">
        <v>1E-4</v>
      </c>
      <c r="AG13" s="22" t="s">
        <v>125</v>
      </c>
      <c r="AH13" s="22" t="s">
        <v>146</v>
      </c>
      <c r="AI13" s="22"/>
    </row>
    <row r="14" spans="1:35" ht="16.5" x14ac:dyDescent="0.3">
      <c r="A14" s="23" t="s">
        <v>77</v>
      </c>
      <c r="B14" s="18">
        <v>1001</v>
      </c>
      <c r="C14" s="18" t="s">
        <v>79</v>
      </c>
      <c r="D14" s="18">
        <v>1</v>
      </c>
      <c r="E14" s="18">
        <v>1</v>
      </c>
      <c r="F14" s="18">
        <v>10001</v>
      </c>
      <c r="G14" s="18">
        <v>10001</v>
      </c>
      <c r="H14" s="18">
        <v>2</v>
      </c>
      <c r="I14" s="26">
        <v>12800</v>
      </c>
      <c r="J14" s="19">
        <v>1600</v>
      </c>
      <c r="K14" s="19">
        <v>960</v>
      </c>
      <c r="L14" s="19">
        <v>960</v>
      </c>
      <c r="M14" s="19">
        <v>60</v>
      </c>
      <c r="N14" s="19">
        <v>84</v>
      </c>
      <c r="O14" s="19">
        <v>50</v>
      </c>
      <c r="P14" s="19">
        <v>50</v>
      </c>
      <c r="Q14" s="19">
        <v>678</v>
      </c>
      <c r="R14" s="27">
        <v>1E-4</v>
      </c>
      <c r="S14" s="27">
        <v>1E-4</v>
      </c>
      <c r="T14" s="27">
        <v>1E-4</v>
      </c>
      <c r="U14" s="27">
        <v>1E-4</v>
      </c>
      <c r="V14" s="27">
        <v>1E-4</v>
      </c>
      <c r="W14" s="27">
        <v>1E-4</v>
      </c>
      <c r="X14" s="27">
        <v>1E-4</v>
      </c>
      <c r="Y14" s="27">
        <v>1E-4</v>
      </c>
      <c r="Z14" s="27">
        <v>1E-4</v>
      </c>
      <c r="AA14" s="27">
        <v>1E-4</v>
      </c>
      <c r="AB14" s="27">
        <v>1E-4</v>
      </c>
      <c r="AC14" s="28">
        <v>1</v>
      </c>
      <c r="AD14" s="28">
        <v>1</v>
      </c>
      <c r="AE14" s="27">
        <v>1E-4</v>
      </c>
      <c r="AF14" s="27">
        <v>1E-4</v>
      </c>
      <c r="AG14" s="22" t="s">
        <v>126</v>
      </c>
      <c r="AH14" s="22" t="s">
        <v>133</v>
      </c>
      <c r="AI14" s="22"/>
    </row>
    <row r="15" spans="1:35" x14ac:dyDescent="0.15">
      <c r="B15" s="16">
        <v>2000</v>
      </c>
      <c r="C15" s="29" t="s">
        <v>114</v>
      </c>
      <c r="D15" s="16">
        <v>2</v>
      </c>
      <c r="E15" s="16">
        <v>1</v>
      </c>
      <c r="F15" s="18">
        <v>10000</v>
      </c>
      <c r="G15" s="18">
        <v>10000</v>
      </c>
      <c r="H15" s="24">
        <v>1</v>
      </c>
      <c r="I15" s="19">
        <v>15360</v>
      </c>
      <c r="J15" s="19">
        <v>1280</v>
      </c>
      <c r="K15" s="19">
        <v>1066</v>
      </c>
      <c r="L15" s="19">
        <v>1066</v>
      </c>
      <c r="M15" s="19">
        <v>60</v>
      </c>
      <c r="N15" s="20">
        <v>68</v>
      </c>
      <c r="O15" s="20">
        <v>56</v>
      </c>
      <c r="P15" s="20">
        <v>56</v>
      </c>
      <c r="Q15" s="20">
        <v>815</v>
      </c>
      <c r="R15" s="27">
        <v>1E-4</v>
      </c>
      <c r="S15" s="27">
        <v>1E-4</v>
      </c>
      <c r="T15" s="27">
        <v>1E-4</v>
      </c>
      <c r="U15" s="27">
        <v>1E-4</v>
      </c>
      <c r="V15" s="27">
        <v>1E-4</v>
      </c>
      <c r="W15" s="27">
        <v>1E-4</v>
      </c>
      <c r="X15" s="27">
        <v>1E-4</v>
      </c>
      <c r="Y15" s="27">
        <v>1E-4</v>
      </c>
      <c r="Z15" s="27">
        <v>1E-4</v>
      </c>
      <c r="AA15" s="27">
        <v>1E-4</v>
      </c>
      <c r="AB15" s="27">
        <v>1E-4</v>
      </c>
      <c r="AC15" s="28">
        <v>1</v>
      </c>
      <c r="AD15" s="28">
        <v>1</v>
      </c>
      <c r="AE15" s="27">
        <v>1E-4</v>
      </c>
      <c r="AF15" s="27">
        <v>1E-4</v>
      </c>
      <c r="AG15" s="22" t="s">
        <v>127</v>
      </c>
      <c r="AH15" s="22" t="s">
        <v>134</v>
      </c>
      <c r="AI15" s="22"/>
    </row>
    <row r="16" spans="1:35" x14ac:dyDescent="0.15">
      <c r="B16" s="16">
        <v>2001</v>
      </c>
      <c r="C16" s="29" t="s">
        <v>115</v>
      </c>
      <c r="D16" s="16">
        <v>2</v>
      </c>
      <c r="E16" s="16">
        <v>1</v>
      </c>
      <c r="F16" s="18">
        <v>10000</v>
      </c>
      <c r="G16" s="18">
        <v>10000</v>
      </c>
      <c r="H16" s="24">
        <v>2</v>
      </c>
      <c r="I16" s="19">
        <v>12800</v>
      </c>
      <c r="J16" s="19">
        <v>1616</v>
      </c>
      <c r="K16" s="19">
        <v>960</v>
      </c>
      <c r="L16" s="19">
        <v>960</v>
      </c>
      <c r="M16" s="19">
        <v>60</v>
      </c>
      <c r="N16" s="20">
        <v>86</v>
      </c>
      <c r="O16" s="20">
        <v>51</v>
      </c>
      <c r="P16" s="20">
        <v>51</v>
      </c>
      <c r="Q16" s="20">
        <v>679</v>
      </c>
      <c r="R16" s="27">
        <v>1E-4</v>
      </c>
      <c r="S16" s="27">
        <v>1E-4</v>
      </c>
      <c r="T16" s="27">
        <v>1E-4</v>
      </c>
      <c r="U16" s="27">
        <v>1E-4</v>
      </c>
      <c r="V16" s="27">
        <v>1E-4</v>
      </c>
      <c r="W16" s="27">
        <v>1E-4</v>
      </c>
      <c r="X16" s="27">
        <v>1E-4</v>
      </c>
      <c r="Y16" s="27">
        <v>1E-4</v>
      </c>
      <c r="Z16" s="27">
        <v>1E-4</v>
      </c>
      <c r="AA16" s="27">
        <v>1E-4</v>
      </c>
      <c r="AB16" s="27">
        <v>1E-4</v>
      </c>
      <c r="AC16" s="28">
        <v>1</v>
      </c>
      <c r="AD16" s="28">
        <v>1</v>
      </c>
      <c r="AE16" s="27">
        <v>1E-4</v>
      </c>
      <c r="AF16" s="27">
        <v>1E-4</v>
      </c>
      <c r="AG16" s="22" t="s">
        <v>128</v>
      </c>
      <c r="AH16" s="22" t="s">
        <v>135</v>
      </c>
      <c r="AI16" s="22"/>
    </row>
    <row r="17" spans="2:35" x14ac:dyDescent="0.15">
      <c r="B17" s="16">
        <v>2002</v>
      </c>
      <c r="C17" s="29" t="s">
        <v>116</v>
      </c>
      <c r="D17" s="16">
        <v>2</v>
      </c>
      <c r="E17" s="16">
        <v>1</v>
      </c>
      <c r="F17" s="18">
        <v>10000</v>
      </c>
      <c r="G17" s="18">
        <v>10000</v>
      </c>
      <c r="H17" s="18">
        <v>1</v>
      </c>
      <c r="I17" s="19">
        <v>11136</v>
      </c>
      <c r="J17" s="19">
        <v>1920</v>
      </c>
      <c r="K17" s="19">
        <v>864</v>
      </c>
      <c r="L17" s="19">
        <v>806</v>
      </c>
      <c r="M17" s="19">
        <v>60</v>
      </c>
      <c r="N17" s="20">
        <v>102</v>
      </c>
      <c r="O17" s="20">
        <v>46</v>
      </c>
      <c r="P17" s="20">
        <v>43</v>
      </c>
      <c r="Q17" s="20">
        <v>591</v>
      </c>
      <c r="R17" s="27">
        <v>1E-4</v>
      </c>
      <c r="S17" s="27">
        <v>1E-4</v>
      </c>
      <c r="T17" s="27">
        <v>1E-4</v>
      </c>
      <c r="U17" s="27">
        <v>1E-4</v>
      </c>
      <c r="V17" s="27">
        <v>1E-4</v>
      </c>
      <c r="W17" s="27">
        <v>1E-4</v>
      </c>
      <c r="X17" s="27">
        <v>1E-4</v>
      </c>
      <c r="Y17" s="27">
        <v>1E-4</v>
      </c>
      <c r="Z17" s="27">
        <v>1E-4</v>
      </c>
      <c r="AA17" s="27">
        <v>1E-4</v>
      </c>
      <c r="AB17" s="27">
        <v>1E-4</v>
      </c>
      <c r="AC17" s="28">
        <v>1</v>
      </c>
      <c r="AD17" s="28">
        <v>1</v>
      </c>
      <c r="AE17" s="27">
        <v>1E-4</v>
      </c>
      <c r="AF17" s="27">
        <v>1E-4</v>
      </c>
      <c r="AG17" s="22" t="s">
        <v>129</v>
      </c>
      <c r="AH17" s="22" t="s">
        <v>147</v>
      </c>
      <c r="AI17" s="22"/>
    </row>
    <row r="18" spans="2:35" x14ac:dyDescent="0.15">
      <c r="B18" s="16">
        <v>2003</v>
      </c>
      <c r="C18" s="29" t="s">
        <v>117</v>
      </c>
      <c r="D18" s="16">
        <v>2</v>
      </c>
      <c r="E18" s="16">
        <v>2</v>
      </c>
      <c r="F18" s="18">
        <v>10000</v>
      </c>
      <c r="G18" s="18">
        <v>10000</v>
      </c>
      <c r="H18" s="18">
        <v>2</v>
      </c>
      <c r="I18" s="19">
        <v>11520</v>
      </c>
      <c r="J18" s="19">
        <v>1808</v>
      </c>
      <c r="K18" s="19">
        <v>778</v>
      </c>
      <c r="L18" s="19">
        <v>998</v>
      </c>
      <c r="M18" s="19">
        <v>60</v>
      </c>
      <c r="N18" s="20">
        <v>96</v>
      </c>
      <c r="O18" s="20">
        <v>41</v>
      </c>
      <c r="P18" s="20">
        <v>53</v>
      </c>
      <c r="Q18" s="20">
        <v>611</v>
      </c>
      <c r="R18" s="27">
        <v>1E-4</v>
      </c>
      <c r="S18" s="27">
        <v>1E-4</v>
      </c>
      <c r="T18" s="27">
        <v>1E-4</v>
      </c>
      <c r="U18" s="27">
        <v>1E-4</v>
      </c>
      <c r="V18" s="27">
        <v>1E-4</v>
      </c>
      <c r="W18" s="27">
        <v>1E-4</v>
      </c>
      <c r="X18" s="27">
        <v>1E-4</v>
      </c>
      <c r="Y18" s="27">
        <v>1E-4</v>
      </c>
      <c r="Z18" s="27">
        <v>1E-4</v>
      </c>
      <c r="AA18" s="27">
        <v>1E-4</v>
      </c>
      <c r="AB18" s="27">
        <v>1E-4</v>
      </c>
      <c r="AC18" s="28">
        <v>1</v>
      </c>
      <c r="AD18" s="28">
        <v>1</v>
      </c>
      <c r="AE18" s="27">
        <v>1E-4</v>
      </c>
      <c r="AF18" s="27">
        <v>1E-4</v>
      </c>
      <c r="AG18" s="22" t="s">
        <v>130</v>
      </c>
      <c r="AH18" s="22" t="s">
        <v>133</v>
      </c>
      <c r="AI18" s="22"/>
    </row>
    <row r="19" spans="2:35" x14ac:dyDescent="0.15">
      <c r="B19" s="16">
        <v>2004</v>
      </c>
      <c r="C19" s="29" t="s">
        <v>118</v>
      </c>
      <c r="D19" s="16">
        <v>2</v>
      </c>
      <c r="E19" s="16">
        <v>2</v>
      </c>
      <c r="F19" s="18">
        <v>10000</v>
      </c>
      <c r="G19" s="18">
        <v>10000</v>
      </c>
      <c r="H19" s="18">
        <v>3</v>
      </c>
      <c r="I19" s="19">
        <v>10880</v>
      </c>
      <c r="J19" s="19">
        <v>1936</v>
      </c>
      <c r="K19" s="19">
        <v>806</v>
      </c>
      <c r="L19" s="19">
        <v>864</v>
      </c>
      <c r="M19" s="19">
        <v>60</v>
      </c>
      <c r="N19" s="20">
        <v>103</v>
      </c>
      <c r="O19" s="20">
        <v>43</v>
      </c>
      <c r="P19" s="20">
        <v>46</v>
      </c>
      <c r="Q19" s="20">
        <v>577</v>
      </c>
      <c r="R19" s="27">
        <v>1E-4</v>
      </c>
      <c r="S19" s="27">
        <v>1E-4</v>
      </c>
      <c r="T19" s="27">
        <v>1E-4</v>
      </c>
      <c r="U19" s="27">
        <v>1E-4</v>
      </c>
      <c r="V19" s="27">
        <v>1E-4</v>
      </c>
      <c r="W19" s="27">
        <v>1E-4</v>
      </c>
      <c r="X19" s="27">
        <v>1E-4</v>
      </c>
      <c r="Y19" s="27">
        <v>1E-4</v>
      </c>
      <c r="Z19" s="27">
        <v>1E-4</v>
      </c>
      <c r="AA19" s="27">
        <v>1E-4</v>
      </c>
      <c r="AB19" s="27">
        <v>1E-4</v>
      </c>
      <c r="AC19" s="28">
        <v>1</v>
      </c>
      <c r="AD19" s="28">
        <v>1</v>
      </c>
      <c r="AE19" s="27">
        <v>1E-4</v>
      </c>
      <c r="AF19" s="27">
        <v>1E-4</v>
      </c>
      <c r="AG19" s="22" t="s">
        <v>131</v>
      </c>
      <c r="AH19" s="22" t="s">
        <v>134</v>
      </c>
      <c r="AI19" s="22"/>
    </row>
    <row r="20" spans="2:35" x14ac:dyDescent="0.15">
      <c r="B20" s="16">
        <v>2005</v>
      </c>
      <c r="C20" s="29" t="s">
        <v>119</v>
      </c>
      <c r="D20" s="16">
        <v>2</v>
      </c>
      <c r="E20" s="16">
        <v>2</v>
      </c>
      <c r="F20" s="18">
        <v>10000</v>
      </c>
      <c r="G20" s="18">
        <v>10000</v>
      </c>
      <c r="H20" s="18">
        <v>4</v>
      </c>
      <c r="I20" s="19">
        <v>13440</v>
      </c>
      <c r="J20" s="19">
        <v>1488</v>
      </c>
      <c r="K20" s="19">
        <v>1008</v>
      </c>
      <c r="L20" s="19">
        <v>1018</v>
      </c>
      <c r="M20" s="19">
        <v>60</v>
      </c>
      <c r="N20" s="20">
        <v>79</v>
      </c>
      <c r="O20" s="20">
        <v>53</v>
      </c>
      <c r="P20" s="20">
        <v>54</v>
      </c>
      <c r="Q20" s="20">
        <v>713</v>
      </c>
      <c r="R20" s="27">
        <v>1E-4</v>
      </c>
      <c r="S20" s="27">
        <v>1E-4</v>
      </c>
      <c r="T20" s="27">
        <v>1E-4</v>
      </c>
      <c r="U20" s="27">
        <v>1E-4</v>
      </c>
      <c r="V20" s="27">
        <v>1E-4</v>
      </c>
      <c r="W20" s="27">
        <v>1E-4</v>
      </c>
      <c r="X20" s="27">
        <v>1E-4</v>
      </c>
      <c r="Y20" s="27">
        <v>1E-4</v>
      </c>
      <c r="Z20" s="27">
        <v>1E-4</v>
      </c>
      <c r="AA20" s="27">
        <v>1E-4</v>
      </c>
      <c r="AB20" s="27">
        <v>1E-4</v>
      </c>
      <c r="AC20" s="28">
        <v>1</v>
      </c>
      <c r="AD20" s="28">
        <v>1</v>
      </c>
      <c r="AE20" s="27">
        <v>1E-4</v>
      </c>
      <c r="AF20" s="27">
        <v>1E-4</v>
      </c>
      <c r="AG20" s="22" t="s">
        <v>132</v>
      </c>
      <c r="AH20" s="22" t="s">
        <v>135</v>
      </c>
      <c r="AI20" s="22"/>
    </row>
    <row r="21" spans="2:35" x14ac:dyDescent="0.15">
      <c r="B21" s="16">
        <v>101</v>
      </c>
      <c r="C21" s="34" t="s">
        <v>203</v>
      </c>
      <c r="D21" s="16">
        <v>2</v>
      </c>
      <c r="E21" s="16">
        <v>2</v>
      </c>
      <c r="F21" s="18">
        <v>10000</v>
      </c>
      <c r="G21" s="18">
        <v>10000</v>
      </c>
      <c r="H21">
        <f>H17</f>
        <v>1</v>
      </c>
      <c r="I21" s="19">
        <v>12800</v>
      </c>
      <c r="J21" s="19">
        <v>1616</v>
      </c>
      <c r="K21" s="19">
        <v>960</v>
      </c>
      <c r="L21" s="19">
        <v>960</v>
      </c>
      <c r="M21" s="19">
        <v>60</v>
      </c>
      <c r="N21" s="20">
        <v>86</v>
      </c>
      <c r="O21" s="20">
        <v>51</v>
      </c>
      <c r="P21" s="20">
        <v>51</v>
      </c>
      <c r="Q21" s="20">
        <v>679</v>
      </c>
      <c r="R21" s="27">
        <v>1E-4</v>
      </c>
      <c r="S21" s="27">
        <v>1E-4</v>
      </c>
      <c r="T21" s="27">
        <v>1E-4</v>
      </c>
      <c r="U21" s="27">
        <v>1E-4</v>
      </c>
      <c r="V21" s="27">
        <v>1E-4</v>
      </c>
      <c r="W21" s="27">
        <v>1E-4</v>
      </c>
      <c r="X21" s="27">
        <v>1E-4</v>
      </c>
      <c r="Y21" s="27">
        <v>1E-4</v>
      </c>
      <c r="Z21" s="27">
        <v>1E-4</v>
      </c>
      <c r="AA21" s="27">
        <v>1E-4</v>
      </c>
      <c r="AB21" s="27">
        <v>1E-4</v>
      </c>
      <c r="AC21" s="28">
        <v>1</v>
      </c>
      <c r="AD21" s="28">
        <v>1</v>
      </c>
      <c r="AE21" s="27">
        <v>1E-4</v>
      </c>
      <c r="AF21" s="27">
        <v>1E-4</v>
      </c>
      <c r="AG21" s="22" t="s">
        <v>132</v>
      </c>
      <c r="AH21" s="22" t="s">
        <v>135</v>
      </c>
      <c r="AI21" s="22">
        <v>201</v>
      </c>
    </row>
    <row r="22" spans="2:35" x14ac:dyDescent="0.15">
      <c r="B22" s="16">
        <v>102</v>
      </c>
      <c r="C22" s="34" t="s">
        <v>204</v>
      </c>
      <c r="D22" s="16">
        <v>2</v>
      </c>
      <c r="E22" s="24">
        <v>1</v>
      </c>
      <c r="F22" s="18">
        <v>10000</v>
      </c>
      <c r="G22" s="18">
        <v>10000</v>
      </c>
      <c r="H22">
        <f t="shared" ref="H22:H49" si="0">H18</f>
        <v>2</v>
      </c>
      <c r="I22" s="19">
        <v>12800</v>
      </c>
      <c r="J22" s="19">
        <v>1616</v>
      </c>
      <c r="K22" s="19">
        <v>960</v>
      </c>
      <c r="L22" s="19">
        <v>960</v>
      </c>
      <c r="M22" s="19">
        <v>60</v>
      </c>
      <c r="N22" s="20">
        <v>86</v>
      </c>
      <c r="O22" s="20">
        <v>51</v>
      </c>
      <c r="P22" s="20">
        <v>51</v>
      </c>
      <c r="Q22" s="20">
        <v>679</v>
      </c>
      <c r="R22" s="27">
        <v>1E-4</v>
      </c>
      <c r="S22" s="27">
        <v>1E-4</v>
      </c>
      <c r="T22" s="27">
        <v>1E-4</v>
      </c>
      <c r="U22" s="27">
        <v>1E-4</v>
      </c>
      <c r="V22" s="27">
        <v>1E-4</v>
      </c>
      <c r="W22" s="27">
        <v>1E-4</v>
      </c>
      <c r="X22" s="27">
        <v>1E-4</v>
      </c>
      <c r="Y22" s="27">
        <v>1E-4</v>
      </c>
      <c r="Z22" s="27">
        <v>1E-4</v>
      </c>
      <c r="AA22" s="27">
        <v>1E-4</v>
      </c>
      <c r="AB22" s="27">
        <v>1E-4</v>
      </c>
      <c r="AC22" s="28">
        <v>1</v>
      </c>
      <c r="AD22" s="28">
        <v>1</v>
      </c>
      <c r="AE22" s="27">
        <v>1E-4</v>
      </c>
      <c r="AF22" s="27">
        <v>1E-4</v>
      </c>
      <c r="AG22" s="22" t="s">
        <v>132</v>
      </c>
      <c r="AH22" s="22" t="s">
        <v>240</v>
      </c>
      <c r="AI22" s="22">
        <v>202</v>
      </c>
    </row>
    <row r="23" spans="2:35" x14ac:dyDescent="0.15">
      <c r="B23" s="16">
        <v>103</v>
      </c>
      <c r="C23" s="34" t="s">
        <v>205</v>
      </c>
      <c r="D23" s="16">
        <v>2</v>
      </c>
      <c r="E23" s="24">
        <f>E21</f>
        <v>2</v>
      </c>
      <c r="F23" s="18">
        <v>10000</v>
      </c>
      <c r="G23" s="18">
        <v>10000</v>
      </c>
      <c r="H23">
        <f t="shared" si="0"/>
        <v>3</v>
      </c>
      <c r="I23" s="19">
        <v>12800</v>
      </c>
      <c r="J23" s="19">
        <v>1616</v>
      </c>
      <c r="K23" s="19">
        <v>960</v>
      </c>
      <c r="L23" s="19">
        <v>960</v>
      </c>
      <c r="M23" s="19">
        <v>60</v>
      </c>
      <c r="N23" s="20">
        <v>86</v>
      </c>
      <c r="O23" s="20">
        <v>51</v>
      </c>
      <c r="P23" s="20">
        <v>51</v>
      </c>
      <c r="Q23" s="20">
        <v>679</v>
      </c>
      <c r="R23" s="27">
        <v>1E-4</v>
      </c>
      <c r="S23" s="27">
        <v>1E-4</v>
      </c>
      <c r="T23" s="27">
        <v>1E-4</v>
      </c>
      <c r="U23" s="27">
        <v>1E-4</v>
      </c>
      <c r="V23" s="27">
        <v>1E-4</v>
      </c>
      <c r="W23" s="27">
        <v>1E-4</v>
      </c>
      <c r="X23" s="27">
        <v>1E-4</v>
      </c>
      <c r="Y23" s="27">
        <v>1E-4</v>
      </c>
      <c r="Z23" s="27">
        <v>1E-4</v>
      </c>
      <c r="AA23" s="27">
        <v>1E-4</v>
      </c>
      <c r="AB23" s="27">
        <v>1E-4</v>
      </c>
      <c r="AC23" s="28">
        <v>1</v>
      </c>
      <c r="AD23" s="28">
        <v>1</v>
      </c>
      <c r="AE23" s="27">
        <v>1E-4</v>
      </c>
      <c r="AF23" s="27">
        <v>1E-4</v>
      </c>
      <c r="AG23" s="22" t="s">
        <v>132</v>
      </c>
      <c r="AH23" s="22" t="s">
        <v>240</v>
      </c>
      <c r="AI23" s="22">
        <v>203</v>
      </c>
    </row>
    <row r="24" spans="2:35" x14ac:dyDescent="0.15">
      <c r="B24" s="16">
        <v>104</v>
      </c>
      <c r="C24" s="34" t="s">
        <v>206</v>
      </c>
      <c r="D24" s="16">
        <v>2</v>
      </c>
      <c r="E24" s="24">
        <f t="shared" ref="E24:E49" si="1">E22</f>
        <v>1</v>
      </c>
      <c r="F24" s="18">
        <v>10000</v>
      </c>
      <c r="G24" s="18">
        <v>10000</v>
      </c>
      <c r="H24">
        <f t="shared" si="0"/>
        <v>4</v>
      </c>
      <c r="I24" s="19">
        <v>12800</v>
      </c>
      <c r="J24" s="19">
        <v>1616</v>
      </c>
      <c r="K24" s="19">
        <v>960</v>
      </c>
      <c r="L24" s="19">
        <v>960</v>
      </c>
      <c r="M24" s="19">
        <v>60</v>
      </c>
      <c r="N24" s="20">
        <v>86</v>
      </c>
      <c r="O24" s="20">
        <v>51</v>
      </c>
      <c r="P24" s="20">
        <v>51</v>
      </c>
      <c r="Q24" s="20">
        <v>679</v>
      </c>
      <c r="R24" s="27">
        <v>1E-4</v>
      </c>
      <c r="S24" s="27">
        <v>1E-4</v>
      </c>
      <c r="T24" s="27">
        <v>1E-4</v>
      </c>
      <c r="U24" s="27">
        <v>1E-4</v>
      </c>
      <c r="V24" s="27">
        <v>1E-4</v>
      </c>
      <c r="W24" s="27">
        <v>1E-4</v>
      </c>
      <c r="X24" s="27">
        <v>1E-4</v>
      </c>
      <c r="Y24" s="27">
        <v>1E-4</v>
      </c>
      <c r="Z24" s="27">
        <v>1E-4</v>
      </c>
      <c r="AA24" s="27">
        <v>1E-4</v>
      </c>
      <c r="AB24" s="27">
        <v>1E-4</v>
      </c>
      <c r="AC24" s="28">
        <v>1</v>
      </c>
      <c r="AD24" s="28">
        <v>1</v>
      </c>
      <c r="AE24" s="27">
        <v>1E-4</v>
      </c>
      <c r="AF24" s="27">
        <v>1E-4</v>
      </c>
      <c r="AG24" s="22" t="s">
        <v>132</v>
      </c>
      <c r="AH24" s="22" t="s">
        <v>240</v>
      </c>
      <c r="AI24" s="22">
        <v>204</v>
      </c>
    </row>
    <row r="25" spans="2:35" x14ac:dyDescent="0.15">
      <c r="B25" s="16">
        <v>105</v>
      </c>
      <c r="C25" s="34" t="s">
        <v>207</v>
      </c>
      <c r="D25" s="16">
        <v>2</v>
      </c>
      <c r="E25" s="24">
        <f t="shared" si="1"/>
        <v>2</v>
      </c>
      <c r="F25" s="18">
        <v>10000</v>
      </c>
      <c r="G25" s="18">
        <v>10000</v>
      </c>
      <c r="H25">
        <f t="shared" si="0"/>
        <v>1</v>
      </c>
      <c r="I25" s="19">
        <v>12800</v>
      </c>
      <c r="J25" s="19">
        <v>1616</v>
      </c>
      <c r="K25" s="19">
        <v>960</v>
      </c>
      <c r="L25" s="19">
        <v>960</v>
      </c>
      <c r="M25" s="19">
        <v>60</v>
      </c>
      <c r="N25" s="20">
        <v>86</v>
      </c>
      <c r="O25" s="20">
        <v>51</v>
      </c>
      <c r="P25" s="20">
        <v>51</v>
      </c>
      <c r="Q25" s="20">
        <v>679</v>
      </c>
      <c r="R25" s="27">
        <v>1E-4</v>
      </c>
      <c r="S25" s="27">
        <v>1E-4</v>
      </c>
      <c r="T25" s="27">
        <v>1E-4</v>
      </c>
      <c r="U25" s="27">
        <v>1E-4</v>
      </c>
      <c r="V25" s="27">
        <v>1E-4</v>
      </c>
      <c r="W25" s="27">
        <v>1E-4</v>
      </c>
      <c r="X25" s="27">
        <v>1E-4</v>
      </c>
      <c r="Y25" s="27">
        <v>1E-4</v>
      </c>
      <c r="Z25" s="27">
        <v>1E-4</v>
      </c>
      <c r="AA25" s="27">
        <v>1E-4</v>
      </c>
      <c r="AB25" s="27">
        <v>1E-4</v>
      </c>
      <c r="AC25" s="28">
        <v>1</v>
      </c>
      <c r="AD25" s="28">
        <v>1</v>
      </c>
      <c r="AE25" s="27">
        <v>1E-4</v>
      </c>
      <c r="AF25" s="27">
        <v>1E-4</v>
      </c>
      <c r="AG25" s="22" t="s">
        <v>132</v>
      </c>
      <c r="AH25" s="22" t="s">
        <v>240</v>
      </c>
      <c r="AI25" s="22">
        <v>205</v>
      </c>
    </row>
    <row r="26" spans="2:35" x14ac:dyDescent="0.15">
      <c r="B26" s="16">
        <v>106</v>
      </c>
      <c r="C26" s="34" t="s">
        <v>208</v>
      </c>
      <c r="D26" s="16">
        <v>2</v>
      </c>
      <c r="E26" s="24">
        <f t="shared" si="1"/>
        <v>1</v>
      </c>
      <c r="F26" s="18">
        <v>10000</v>
      </c>
      <c r="G26" s="18">
        <v>10000</v>
      </c>
      <c r="H26">
        <f t="shared" si="0"/>
        <v>2</v>
      </c>
      <c r="I26" s="19">
        <v>12800</v>
      </c>
      <c r="J26" s="19">
        <v>1616</v>
      </c>
      <c r="K26" s="19">
        <v>960</v>
      </c>
      <c r="L26" s="19">
        <v>960</v>
      </c>
      <c r="M26" s="19">
        <v>60</v>
      </c>
      <c r="N26" s="20">
        <v>86</v>
      </c>
      <c r="O26" s="20">
        <v>51</v>
      </c>
      <c r="P26" s="20">
        <v>51</v>
      </c>
      <c r="Q26" s="20">
        <v>679</v>
      </c>
      <c r="R26" s="27">
        <v>1E-4</v>
      </c>
      <c r="S26" s="27">
        <v>1E-4</v>
      </c>
      <c r="T26" s="27">
        <v>1E-4</v>
      </c>
      <c r="U26" s="27">
        <v>1E-4</v>
      </c>
      <c r="V26" s="27">
        <v>1E-4</v>
      </c>
      <c r="W26" s="27">
        <v>1E-4</v>
      </c>
      <c r="X26" s="27">
        <v>1E-4</v>
      </c>
      <c r="Y26" s="27">
        <v>1E-4</v>
      </c>
      <c r="Z26" s="27">
        <v>1E-4</v>
      </c>
      <c r="AA26" s="27">
        <v>1E-4</v>
      </c>
      <c r="AB26" s="27">
        <v>1E-4</v>
      </c>
      <c r="AC26" s="28">
        <v>1</v>
      </c>
      <c r="AD26" s="28">
        <v>1</v>
      </c>
      <c r="AE26" s="27">
        <v>1E-4</v>
      </c>
      <c r="AF26" s="27">
        <v>1E-4</v>
      </c>
      <c r="AG26" s="22" t="s">
        <v>132</v>
      </c>
      <c r="AH26" s="22" t="s">
        <v>240</v>
      </c>
      <c r="AI26" s="22">
        <v>206</v>
      </c>
    </row>
    <row r="27" spans="2:35" x14ac:dyDescent="0.15">
      <c r="B27" s="16">
        <v>107</v>
      </c>
      <c r="C27" s="34" t="s">
        <v>209</v>
      </c>
      <c r="D27" s="16">
        <v>2</v>
      </c>
      <c r="E27" s="24">
        <f t="shared" si="1"/>
        <v>2</v>
      </c>
      <c r="F27" s="18">
        <v>10000</v>
      </c>
      <c r="G27" s="18">
        <v>10000</v>
      </c>
      <c r="H27">
        <f t="shared" si="0"/>
        <v>3</v>
      </c>
      <c r="I27" s="19">
        <v>12800</v>
      </c>
      <c r="J27" s="19">
        <v>1616</v>
      </c>
      <c r="K27" s="19">
        <v>960</v>
      </c>
      <c r="L27" s="19">
        <v>960</v>
      </c>
      <c r="M27" s="19">
        <v>60</v>
      </c>
      <c r="N27" s="20">
        <v>86</v>
      </c>
      <c r="O27" s="20">
        <v>51</v>
      </c>
      <c r="P27" s="20">
        <v>51</v>
      </c>
      <c r="Q27" s="20">
        <v>679</v>
      </c>
      <c r="R27" s="27">
        <v>1E-4</v>
      </c>
      <c r="S27" s="27">
        <v>1E-4</v>
      </c>
      <c r="T27" s="27">
        <v>1E-4</v>
      </c>
      <c r="U27" s="27">
        <v>1E-4</v>
      </c>
      <c r="V27" s="27">
        <v>1E-4</v>
      </c>
      <c r="W27" s="27">
        <v>1E-4</v>
      </c>
      <c r="X27" s="27">
        <v>1E-4</v>
      </c>
      <c r="Y27" s="27">
        <v>1E-4</v>
      </c>
      <c r="Z27" s="27">
        <v>1E-4</v>
      </c>
      <c r="AA27" s="27">
        <v>1E-4</v>
      </c>
      <c r="AB27" s="27">
        <v>1E-4</v>
      </c>
      <c r="AC27" s="28">
        <v>1</v>
      </c>
      <c r="AD27" s="28">
        <v>1</v>
      </c>
      <c r="AE27" s="27">
        <v>1E-4</v>
      </c>
      <c r="AF27" s="27">
        <v>1E-4</v>
      </c>
      <c r="AG27" s="22" t="s">
        <v>132</v>
      </c>
      <c r="AH27" s="22" t="s">
        <v>240</v>
      </c>
      <c r="AI27" s="22">
        <v>207</v>
      </c>
    </row>
    <row r="28" spans="2:35" x14ac:dyDescent="0.15">
      <c r="B28" s="16">
        <v>108</v>
      </c>
      <c r="C28" s="34" t="s">
        <v>210</v>
      </c>
      <c r="D28" s="16">
        <v>2</v>
      </c>
      <c r="E28" s="24">
        <f t="shared" si="1"/>
        <v>1</v>
      </c>
      <c r="F28" s="18">
        <v>10000</v>
      </c>
      <c r="G28" s="18">
        <v>10000</v>
      </c>
      <c r="H28">
        <f t="shared" si="0"/>
        <v>4</v>
      </c>
      <c r="I28" s="19">
        <v>12800</v>
      </c>
      <c r="J28" s="19">
        <v>1616</v>
      </c>
      <c r="K28" s="19">
        <v>960</v>
      </c>
      <c r="L28" s="19">
        <v>960</v>
      </c>
      <c r="M28" s="19">
        <v>60</v>
      </c>
      <c r="N28" s="20">
        <v>86</v>
      </c>
      <c r="O28" s="20">
        <v>51</v>
      </c>
      <c r="P28" s="20">
        <v>51</v>
      </c>
      <c r="Q28" s="20">
        <v>679</v>
      </c>
      <c r="R28" s="27">
        <v>1E-4</v>
      </c>
      <c r="S28" s="27">
        <v>1E-4</v>
      </c>
      <c r="T28" s="27">
        <v>1E-4</v>
      </c>
      <c r="U28" s="27">
        <v>1E-4</v>
      </c>
      <c r="V28" s="27">
        <v>1E-4</v>
      </c>
      <c r="W28" s="27">
        <v>1E-4</v>
      </c>
      <c r="X28" s="27">
        <v>1E-4</v>
      </c>
      <c r="Y28" s="27">
        <v>1E-4</v>
      </c>
      <c r="Z28" s="27">
        <v>1E-4</v>
      </c>
      <c r="AA28" s="27">
        <v>1E-4</v>
      </c>
      <c r="AB28" s="27">
        <v>1E-4</v>
      </c>
      <c r="AC28" s="28">
        <v>1</v>
      </c>
      <c r="AD28" s="28">
        <v>1</v>
      </c>
      <c r="AE28" s="27">
        <v>1E-4</v>
      </c>
      <c r="AF28" s="27">
        <v>1E-4</v>
      </c>
      <c r="AG28" s="22" t="s">
        <v>132</v>
      </c>
      <c r="AH28" s="22" t="s">
        <v>240</v>
      </c>
      <c r="AI28" s="22">
        <v>208</v>
      </c>
    </row>
    <row r="29" spans="2:35" x14ac:dyDescent="0.15">
      <c r="B29" s="16">
        <v>109</v>
      </c>
      <c r="C29" s="34" t="s">
        <v>211</v>
      </c>
      <c r="D29" s="16">
        <v>2</v>
      </c>
      <c r="E29" s="24">
        <f t="shared" si="1"/>
        <v>2</v>
      </c>
      <c r="F29" s="18">
        <v>10000</v>
      </c>
      <c r="G29" s="18">
        <v>10000</v>
      </c>
      <c r="H29">
        <f t="shared" si="0"/>
        <v>1</v>
      </c>
      <c r="I29" s="19">
        <v>12800</v>
      </c>
      <c r="J29" s="19">
        <v>1616</v>
      </c>
      <c r="K29" s="19">
        <v>960</v>
      </c>
      <c r="L29" s="19">
        <v>960</v>
      </c>
      <c r="M29" s="19">
        <v>60</v>
      </c>
      <c r="N29" s="20">
        <v>86</v>
      </c>
      <c r="O29" s="20">
        <v>51</v>
      </c>
      <c r="P29" s="20">
        <v>51</v>
      </c>
      <c r="Q29" s="20">
        <v>679</v>
      </c>
      <c r="R29" s="27">
        <v>1E-4</v>
      </c>
      <c r="S29" s="27">
        <v>1E-4</v>
      </c>
      <c r="T29" s="27">
        <v>1E-4</v>
      </c>
      <c r="U29" s="27">
        <v>1E-4</v>
      </c>
      <c r="V29" s="27">
        <v>1E-4</v>
      </c>
      <c r="W29" s="27">
        <v>1E-4</v>
      </c>
      <c r="X29" s="27">
        <v>1E-4</v>
      </c>
      <c r="Y29" s="27">
        <v>1E-4</v>
      </c>
      <c r="Z29" s="27">
        <v>1E-4</v>
      </c>
      <c r="AA29" s="27">
        <v>1E-4</v>
      </c>
      <c r="AB29" s="27">
        <v>1E-4</v>
      </c>
      <c r="AC29" s="28">
        <v>1</v>
      </c>
      <c r="AD29" s="28">
        <v>1</v>
      </c>
      <c r="AE29" s="27">
        <v>1E-4</v>
      </c>
      <c r="AF29" s="27">
        <v>1E-4</v>
      </c>
      <c r="AG29" s="22" t="s">
        <v>132</v>
      </c>
      <c r="AH29" s="22" t="s">
        <v>240</v>
      </c>
      <c r="AI29" s="22">
        <v>209</v>
      </c>
    </row>
    <row r="30" spans="2:35" x14ac:dyDescent="0.15">
      <c r="B30" s="16">
        <v>110</v>
      </c>
      <c r="C30" s="34" t="s">
        <v>212</v>
      </c>
      <c r="D30" s="16">
        <v>2</v>
      </c>
      <c r="E30" s="24">
        <f t="shared" si="1"/>
        <v>1</v>
      </c>
      <c r="F30" s="18">
        <v>10000</v>
      </c>
      <c r="G30" s="18">
        <v>10000</v>
      </c>
      <c r="H30">
        <f t="shared" si="0"/>
        <v>2</v>
      </c>
      <c r="I30" s="19">
        <v>12800</v>
      </c>
      <c r="J30" s="19">
        <v>1616</v>
      </c>
      <c r="K30" s="19">
        <v>960</v>
      </c>
      <c r="L30" s="19">
        <v>960</v>
      </c>
      <c r="M30" s="19">
        <v>60</v>
      </c>
      <c r="N30" s="20">
        <v>86</v>
      </c>
      <c r="O30" s="20">
        <v>51</v>
      </c>
      <c r="P30" s="20">
        <v>51</v>
      </c>
      <c r="Q30" s="20">
        <v>679</v>
      </c>
      <c r="R30" s="27">
        <v>1E-4</v>
      </c>
      <c r="S30" s="27">
        <v>1E-4</v>
      </c>
      <c r="T30" s="27">
        <v>1E-4</v>
      </c>
      <c r="U30" s="27">
        <v>1E-4</v>
      </c>
      <c r="V30" s="27">
        <v>1E-4</v>
      </c>
      <c r="W30" s="27">
        <v>1E-4</v>
      </c>
      <c r="X30" s="27">
        <v>1E-4</v>
      </c>
      <c r="Y30" s="27">
        <v>1E-4</v>
      </c>
      <c r="Z30" s="27">
        <v>1E-4</v>
      </c>
      <c r="AA30" s="27">
        <v>1E-4</v>
      </c>
      <c r="AB30" s="27">
        <v>1E-4</v>
      </c>
      <c r="AC30" s="28">
        <v>1</v>
      </c>
      <c r="AD30" s="28">
        <v>1</v>
      </c>
      <c r="AE30" s="27">
        <v>1E-4</v>
      </c>
      <c r="AF30" s="27">
        <v>1E-4</v>
      </c>
      <c r="AG30" s="22" t="s">
        <v>132</v>
      </c>
      <c r="AH30" s="22" t="s">
        <v>240</v>
      </c>
      <c r="AI30" s="22">
        <v>210</v>
      </c>
    </row>
    <row r="31" spans="2:35" x14ac:dyDescent="0.15">
      <c r="B31" s="16">
        <v>111</v>
      </c>
      <c r="C31" s="34" t="s">
        <v>213</v>
      </c>
      <c r="D31" s="16">
        <v>2</v>
      </c>
      <c r="E31" s="24">
        <f t="shared" si="1"/>
        <v>2</v>
      </c>
      <c r="F31" s="18">
        <v>10000</v>
      </c>
      <c r="G31" s="18">
        <v>10000</v>
      </c>
      <c r="H31">
        <f t="shared" si="0"/>
        <v>3</v>
      </c>
      <c r="I31" s="19">
        <v>12800</v>
      </c>
      <c r="J31" s="19">
        <v>1616</v>
      </c>
      <c r="K31" s="19">
        <v>960</v>
      </c>
      <c r="L31" s="19">
        <v>960</v>
      </c>
      <c r="M31" s="19">
        <v>60</v>
      </c>
      <c r="N31" s="20">
        <v>86</v>
      </c>
      <c r="O31" s="20">
        <v>51</v>
      </c>
      <c r="P31" s="20">
        <v>51</v>
      </c>
      <c r="Q31" s="20">
        <v>679</v>
      </c>
      <c r="R31" s="27">
        <v>1E-4</v>
      </c>
      <c r="S31" s="27">
        <v>1E-4</v>
      </c>
      <c r="T31" s="27">
        <v>1E-4</v>
      </c>
      <c r="U31" s="27">
        <v>1E-4</v>
      </c>
      <c r="V31" s="27">
        <v>1E-4</v>
      </c>
      <c r="W31" s="27">
        <v>1E-4</v>
      </c>
      <c r="X31" s="27">
        <v>1E-4</v>
      </c>
      <c r="Y31" s="27">
        <v>1E-4</v>
      </c>
      <c r="Z31" s="27">
        <v>1E-4</v>
      </c>
      <c r="AA31" s="27">
        <v>1E-4</v>
      </c>
      <c r="AB31" s="27">
        <v>1E-4</v>
      </c>
      <c r="AC31" s="28">
        <v>1</v>
      </c>
      <c r="AD31" s="28">
        <v>1</v>
      </c>
      <c r="AE31" s="27">
        <v>1E-4</v>
      </c>
      <c r="AF31" s="27">
        <v>1E-4</v>
      </c>
      <c r="AG31" s="22" t="s">
        <v>132</v>
      </c>
      <c r="AH31" s="22" t="s">
        <v>240</v>
      </c>
      <c r="AI31" s="22">
        <v>211</v>
      </c>
    </row>
    <row r="32" spans="2:35" x14ac:dyDescent="0.15">
      <c r="B32" s="16">
        <v>112</v>
      </c>
      <c r="C32" s="34" t="s">
        <v>214</v>
      </c>
      <c r="D32" s="16">
        <v>2</v>
      </c>
      <c r="E32" s="24">
        <f t="shared" si="1"/>
        <v>1</v>
      </c>
      <c r="F32" s="18">
        <v>10000</v>
      </c>
      <c r="G32" s="18">
        <v>10000</v>
      </c>
      <c r="H32">
        <f t="shared" si="0"/>
        <v>4</v>
      </c>
      <c r="I32" s="19">
        <v>12800</v>
      </c>
      <c r="J32" s="19">
        <v>1616</v>
      </c>
      <c r="K32" s="19">
        <v>960</v>
      </c>
      <c r="L32" s="19">
        <v>960</v>
      </c>
      <c r="M32" s="19">
        <v>60</v>
      </c>
      <c r="N32" s="20">
        <v>86</v>
      </c>
      <c r="O32" s="20">
        <v>51</v>
      </c>
      <c r="P32" s="20">
        <v>51</v>
      </c>
      <c r="Q32" s="20">
        <v>679</v>
      </c>
      <c r="R32" s="27">
        <v>1E-4</v>
      </c>
      <c r="S32" s="27">
        <v>1E-4</v>
      </c>
      <c r="T32" s="27">
        <v>1E-4</v>
      </c>
      <c r="U32" s="27">
        <v>1E-4</v>
      </c>
      <c r="V32" s="27">
        <v>1E-4</v>
      </c>
      <c r="W32" s="27">
        <v>1E-4</v>
      </c>
      <c r="X32" s="27">
        <v>1E-4</v>
      </c>
      <c r="Y32" s="27">
        <v>1E-4</v>
      </c>
      <c r="Z32" s="27">
        <v>1E-4</v>
      </c>
      <c r="AA32" s="27">
        <v>1E-4</v>
      </c>
      <c r="AB32" s="27">
        <v>1E-4</v>
      </c>
      <c r="AC32" s="28">
        <v>1</v>
      </c>
      <c r="AD32" s="28">
        <v>1</v>
      </c>
      <c r="AE32" s="27">
        <v>1E-4</v>
      </c>
      <c r="AF32" s="27">
        <v>1E-4</v>
      </c>
      <c r="AG32" s="22" t="s">
        <v>132</v>
      </c>
      <c r="AH32" s="22" t="s">
        <v>240</v>
      </c>
      <c r="AI32" s="22">
        <v>212</v>
      </c>
    </row>
    <row r="33" spans="2:35" x14ac:dyDescent="0.15">
      <c r="B33" s="16">
        <v>113</v>
      </c>
      <c r="C33" s="34" t="s">
        <v>215</v>
      </c>
      <c r="D33" s="16">
        <v>2</v>
      </c>
      <c r="E33" s="24">
        <f t="shared" si="1"/>
        <v>2</v>
      </c>
      <c r="F33" s="18">
        <v>10000</v>
      </c>
      <c r="G33" s="18">
        <v>10000</v>
      </c>
      <c r="H33">
        <f t="shared" si="0"/>
        <v>1</v>
      </c>
      <c r="I33" s="19">
        <v>12800</v>
      </c>
      <c r="J33" s="19">
        <v>1616</v>
      </c>
      <c r="K33" s="19">
        <v>960</v>
      </c>
      <c r="L33" s="19">
        <v>960</v>
      </c>
      <c r="M33" s="19">
        <v>60</v>
      </c>
      <c r="N33" s="20">
        <v>86</v>
      </c>
      <c r="O33" s="20">
        <v>51</v>
      </c>
      <c r="P33" s="20">
        <v>51</v>
      </c>
      <c r="Q33" s="20">
        <v>679</v>
      </c>
      <c r="R33" s="27">
        <v>1E-4</v>
      </c>
      <c r="S33" s="27">
        <v>1E-4</v>
      </c>
      <c r="T33" s="27">
        <v>1E-4</v>
      </c>
      <c r="U33" s="27">
        <v>1E-4</v>
      </c>
      <c r="V33" s="27">
        <v>1E-4</v>
      </c>
      <c r="W33" s="27">
        <v>1E-4</v>
      </c>
      <c r="X33" s="27">
        <v>1E-4</v>
      </c>
      <c r="Y33" s="27">
        <v>1E-4</v>
      </c>
      <c r="Z33" s="27">
        <v>1E-4</v>
      </c>
      <c r="AA33" s="27">
        <v>1E-4</v>
      </c>
      <c r="AB33" s="27">
        <v>1E-4</v>
      </c>
      <c r="AC33" s="28">
        <v>1</v>
      </c>
      <c r="AD33" s="28">
        <v>1</v>
      </c>
      <c r="AE33" s="27">
        <v>1E-4</v>
      </c>
      <c r="AF33" s="27">
        <v>1E-4</v>
      </c>
      <c r="AG33" s="22" t="s">
        <v>132</v>
      </c>
      <c r="AH33" s="22" t="s">
        <v>240</v>
      </c>
      <c r="AI33" s="22">
        <v>213</v>
      </c>
    </row>
    <row r="34" spans="2:35" x14ac:dyDescent="0.15">
      <c r="B34" s="16">
        <v>114</v>
      </c>
      <c r="C34" s="34" t="s">
        <v>216</v>
      </c>
      <c r="D34" s="16">
        <v>2</v>
      </c>
      <c r="E34" s="24">
        <f t="shared" si="1"/>
        <v>1</v>
      </c>
      <c r="F34" s="18">
        <v>10000</v>
      </c>
      <c r="G34" s="18">
        <v>10000</v>
      </c>
      <c r="H34">
        <f t="shared" si="0"/>
        <v>2</v>
      </c>
      <c r="I34" s="19">
        <v>12800</v>
      </c>
      <c r="J34" s="19">
        <v>1616</v>
      </c>
      <c r="K34" s="19">
        <v>960</v>
      </c>
      <c r="L34" s="19">
        <v>960</v>
      </c>
      <c r="M34" s="19">
        <v>60</v>
      </c>
      <c r="N34" s="20">
        <v>86</v>
      </c>
      <c r="O34" s="20">
        <v>51</v>
      </c>
      <c r="P34" s="20">
        <v>51</v>
      </c>
      <c r="Q34" s="20">
        <v>679</v>
      </c>
      <c r="R34" s="27">
        <v>1E-4</v>
      </c>
      <c r="S34" s="27">
        <v>1E-4</v>
      </c>
      <c r="T34" s="27">
        <v>1E-4</v>
      </c>
      <c r="U34" s="27">
        <v>1E-4</v>
      </c>
      <c r="V34" s="27">
        <v>1E-4</v>
      </c>
      <c r="W34" s="27">
        <v>1E-4</v>
      </c>
      <c r="X34" s="27">
        <v>1E-4</v>
      </c>
      <c r="Y34" s="27">
        <v>1E-4</v>
      </c>
      <c r="Z34" s="27">
        <v>1E-4</v>
      </c>
      <c r="AA34" s="27">
        <v>1E-4</v>
      </c>
      <c r="AB34" s="27">
        <v>1E-4</v>
      </c>
      <c r="AC34" s="28">
        <v>1</v>
      </c>
      <c r="AD34" s="28">
        <v>1</v>
      </c>
      <c r="AE34" s="27">
        <v>1E-4</v>
      </c>
      <c r="AF34" s="27">
        <v>1E-4</v>
      </c>
      <c r="AG34" s="22" t="s">
        <v>132</v>
      </c>
      <c r="AH34" s="22" t="s">
        <v>240</v>
      </c>
      <c r="AI34" s="22">
        <v>214</v>
      </c>
    </row>
    <row r="35" spans="2:35" x14ac:dyDescent="0.15">
      <c r="B35" s="16">
        <v>115</v>
      </c>
      <c r="C35" s="34" t="s">
        <v>217</v>
      </c>
      <c r="D35" s="16">
        <v>2</v>
      </c>
      <c r="E35" s="24">
        <f t="shared" si="1"/>
        <v>2</v>
      </c>
      <c r="F35" s="18">
        <v>10000</v>
      </c>
      <c r="G35" s="18">
        <v>10000</v>
      </c>
      <c r="H35">
        <f t="shared" si="0"/>
        <v>3</v>
      </c>
      <c r="I35" s="19">
        <v>12800</v>
      </c>
      <c r="J35" s="19">
        <v>1616</v>
      </c>
      <c r="K35" s="19">
        <v>960</v>
      </c>
      <c r="L35" s="19">
        <v>960</v>
      </c>
      <c r="M35" s="19">
        <v>60</v>
      </c>
      <c r="N35" s="20">
        <v>86</v>
      </c>
      <c r="O35" s="20">
        <v>51</v>
      </c>
      <c r="P35" s="20">
        <v>51</v>
      </c>
      <c r="Q35" s="20">
        <v>679</v>
      </c>
      <c r="R35" s="27">
        <v>1E-4</v>
      </c>
      <c r="S35" s="27">
        <v>1E-4</v>
      </c>
      <c r="T35" s="27">
        <v>1E-4</v>
      </c>
      <c r="U35" s="27">
        <v>1E-4</v>
      </c>
      <c r="V35" s="27">
        <v>1E-4</v>
      </c>
      <c r="W35" s="27">
        <v>1E-4</v>
      </c>
      <c r="X35" s="27">
        <v>1E-4</v>
      </c>
      <c r="Y35" s="27">
        <v>1E-4</v>
      </c>
      <c r="Z35" s="27">
        <v>1E-4</v>
      </c>
      <c r="AA35" s="27">
        <v>1E-4</v>
      </c>
      <c r="AB35" s="27">
        <v>1E-4</v>
      </c>
      <c r="AC35" s="28">
        <v>1</v>
      </c>
      <c r="AD35" s="28">
        <v>1</v>
      </c>
      <c r="AE35" s="27">
        <v>1E-4</v>
      </c>
      <c r="AF35" s="27">
        <v>1E-4</v>
      </c>
      <c r="AG35" s="22" t="s">
        <v>132</v>
      </c>
      <c r="AH35" s="22" t="s">
        <v>240</v>
      </c>
      <c r="AI35" s="22">
        <v>215</v>
      </c>
    </row>
    <row r="36" spans="2:35" x14ac:dyDescent="0.15">
      <c r="B36" s="16">
        <v>116</v>
      </c>
      <c r="C36" s="34" t="s">
        <v>218</v>
      </c>
      <c r="D36" s="16">
        <v>2</v>
      </c>
      <c r="E36" s="24">
        <f t="shared" si="1"/>
        <v>1</v>
      </c>
      <c r="F36" s="18">
        <v>10000</v>
      </c>
      <c r="G36" s="18">
        <v>10000</v>
      </c>
      <c r="H36">
        <f t="shared" si="0"/>
        <v>4</v>
      </c>
      <c r="I36" s="19">
        <v>12800</v>
      </c>
      <c r="J36" s="19">
        <v>1616</v>
      </c>
      <c r="K36" s="19">
        <v>960</v>
      </c>
      <c r="L36" s="19">
        <v>960</v>
      </c>
      <c r="M36" s="19">
        <v>60</v>
      </c>
      <c r="N36" s="20">
        <v>86</v>
      </c>
      <c r="O36" s="20">
        <v>51</v>
      </c>
      <c r="P36" s="20">
        <v>51</v>
      </c>
      <c r="Q36" s="20">
        <v>679</v>
      </c>
      <c r="R36" s="27">
        <v>1E-4</v>
      </c>
      <c r="S36" s="27">
        <v>1E-4</v>
      </c>
      <c r="T36" s="27">
        <v>1E-4</v>
      </c>
      <c r="U36" s="27">
        <v>1E-4</v>
      </c>
      <c r="V36" s="27">
        <v>1E-4</v>
      </c>
      <c r="W36" s="27">
        <v>1E-4</v>
      </c>
      <c r="X36" s="27">
        <v>1E-4</v>
      </c>
      <c r="Y36" s="27">
        <v>1E-4</v>
      </c>
      <c r="Z36" s="27">
        <v>1E-4</v>
      </c>
      <c r="AA36" s="27">
        <v>1E-4</v>
      </c>
      <c r="AB36" s="27">
        <v>1E-4</v>
      </c>
      <c r="AC36" s="28">
        <v>1</v>
      </c>
      <c r="AD36" s="28">
        <v>1</v>
      </c>
      <c r="AE36" s="27">
        <v>1E-4</v>
      </c>
      <c r="AF36" s="27">
        <v>1E-4</v>
      </c>
      <c r="AG36" s="22" t="s">
        <v>132</v>
      </c>
      <c r="AH36" s="22" t="s">
        <v>240</v>
      </c>
      <c r="AI36" s="22">
        <v>216</v>
      </c>
    </row>
    <row r="37" spans="2:35" x14ac:dyDescent="0.15">
      <c r="B37" s="16">
        <v>117</v>
      </c>
      <c r="C37" s="34" t="s">
        <v>219</v>
      </c>
      <c r="D37" s="16">
        <v>2</v>
      </c>
      <c r="E37" s="24">
        <f t="shared" si="1"/>
        <v>2</v>
      </c>
      <c r="F37" s="18">
        <v>10000</v>
      </c>
      <c r="G37" s="18">
        <v>10000</v>
      </c>
      <c r="H37">
        <f t="shared" si="0"/>
        <v>1</v>
      </c>
      <c r="I37" s="19">
        <v>12800</v>
      </c>
      <c r="J37" s="19">
        <v>1616</v>
      </c>
      <c r="K37" s="19">
        <v>960</v>
      </c>
      <c r="L37" s="19">
        <v>960</v>
      </c>
      <c r="M37" s="19">
        <v>60</v>
      </c>
      <c r="N37" s="20">
        <v>86</v>
      </c>
      <c r="O37" s="20">
        <v>51</v>
      </c>
      <c r="P37" s="20">
        <v>51</v>
      </c>
      <c r="Q37" s="20">
        <v>679</v>
      </c>
      <c r="R37" s="27">
        <v>1E-4</v>
      </c>
      <c r="S37" s="27">
        <v>1E-4</v>
      </c>
      <c r="T37" s="27">
        <v>1E-4</v>
      </c>
      <c r="U37" s="27">
        <v>1E-4</v>
      </c>
      <c r="V37" s="27">
        <v>1E-4</v>
      </c>
      <c r="W37" s="27">
        <v>1E-4</v>
      </c>
      <c r="X37" s="27">
        <v>1E-4</v>
      </c>
      <c r="Y37" s="27">
        <v>1E-4</v>
      </c>
      <c r="Z37" s="27">
        <v>1E-4</v>
      </c>
      <c r="AA37" s="27">
        <v>1E-4</v>
      </c>
      <c r="AB37" s="27">
        <v>1E-4</v>
      </c>
      <c r="AC37" s="28">
        <v>1</v>
      </c>
      <c r="AD37" s="28">
        <v>1</v>
      </c>
      <c r="AE37" s="27">
        <v>1E-4</v>
      </c>
      <c r="AF37" s="27">
        <v>1E-4</v>
      </c>
      <c r="AG37" s="22" t="s">
        <v>132</v>
      </c>
      <c r="AH37" s="22" t="s">
        <v>240</v>
      </c>
      <c r="AI37" s="22">
        <v>217</v>
      </c>
    </row>
    <row r="38" spans="2:35" x14ac:dyDescent="0.15">
      <c r="B38" s="16">
        <v>118</v>
      </c>
      <c r="C38" s="34" t="s">
        <v>220</v>
      </c>
      <c r="D38" s="16">
        <v>2</v>
      </c>
      <c r="E38" s="24">
        <f t="shared" si="1"/>
        <v>1</v>
      </c>
      <c r="F38" s="18">
        <v>10000</v>
      </c>
      <c r="G38" s="18">
        <v>10000</v>
      </c>
      <c r="H38">
        <f t="shared" si="0"/>
        <v>2</v>
      </c>
      <c r="I38" s="19">
        <v>12800</v>
      </c>
      <c r="J38" s="19">
        <v>1616</v>
      </c>
      <c r="K38" s="19">
        <v>960</v>
      </c>
      <c r="L38" s="19">
        <v>960</v>
      </c>
      <c r="M38" s="19">
        <v>60</v>
      </c>
      <c r="N38" s="20">
        <v>86</v>
      </c>
      <c r="O38" s="20">
        <v>51</v>
      </c>
      <c r="P38" s="20">
        <v>51</v>
      </c>
      <c r="Q38" s="20">
        <v>679</v>
      </c>
      <c r="R38" s="27">
        <v>1E-4</v>
      </c>
      <c r="S38" s="27">
        <v>1E-4</v>
      </c>
      <c r="T38" s="27">
        <v>1E-4</v>
      </c>
      <c r="U38" s="27">
        <v>1E-4</v>
      </c>
      <c r="V38" s="27">
        <v>1E-4</v>
      </c>
      <c r="W38" s="27">
        <v>1E-4</v>
      </c>
      <c r="X38" s="27">
        <v>1E-4</v>
      </c>
      <c r="Y38" s="27">
        <v>1E-4</v>
      </c>
      <c r="Z38" s="27">
        <v>1E-4</v>
      </c>
      <c r="AA38" s="27">
        <v>1E-4</v>
      </c>
      <c r="AB38" s="27">
        <v>1E-4</v>
      </c>
      <c r="AC38" s="28">
        <v>1</v>
      </c>
      <c r="AD38" s="28">
        <v>1</v>
      </c>
      <c r="AE38" s="27">
        <v>1E-4</v>
      </c>
      <c r="AF38" s="27">
        <v>1E-4</v>
      </c>
      <c r="AG38" s="22" t="s">
        <v>132</v>
      </c>
      <c r="AH38" s="22" t="s">
        <v>240</v>
      </c>
      <c r="AI38" s="22">
        <v>218</v>
      </c>
    </row>
    <row r="39" spans="2:35" x14ac:dyDescent="0.15">
      <c r="B39" s="16">
        <v>119</v>
      </c>
      <c r="C39" s="34" t="s">
        <v>221</v>
      </c>
      <c r="D39" s="16">
        <v>2</v>
      </c>
      <c r="E39" s="24">
        <f t="shared" si="1"/>
        <v>2</v>
      </c>
      <c r="F39" s="18">
        <v>10000</v>
      </c>
      <c r="G39" s="18">
        <v>10000</v>
      </c>
      <c r="H39">
        <f t="shared" si="0"/>
        <v>3</v>
      </c>
      <c r="I39" s="19">
        <v>12800</v>
      </c>
      <c r="J39" s="19">
        <v>1616</v>
      </c>
      <c r="K39" s="19">
        <v>960</v>
      </c>
      <c r="L39" s="19">
        <v>960</v>
      </c>
      <c r="M39" s="19">
        <v>60</v>
      </c>
      <c r="N39" s="20">
        <v>86</v>
      </c>
      <c r="O39" s="20">
        <v>51</v>
      </c>
      <c r="P39" s="20">
        <v>51</v>
      </c>
      <c r="Q39" s="20">
        <v>679</v>
      </c>
      <c r="R39" s="27">
        <v>1E-4</v>
      </c>
      <c r="S39" s="27">
        <v>1E-4</v>
      </c>
      <c r="T39" s="27">
        <v>1E-4</v>
      </c>
      <c r="U39" s="27">
        <v>1E-4</v>
      </c>
      <c r="V39" s="27">
        <v>1E-4</v>
      </c>
      <c r="W39" s="27">
        <v>1E-4</v>
      </c>
      <c r="X39" s="27">
        <v>1E-4</v>
      </c>
      <c r="Y39" s="27">
        <v>1E-4</v>
      </c>
      <c r="Z39" s="27">
        <v>1E-4</v>
      </c>
      <c r="AA39" s="27">
        <v>1E-4</v>
      </c>
      <c r="AB39" s="27">
        <v>1E-4</v>
      </c>
      <c r="AC39" s="28">
        <v>1</v>
      </c>
      <c r="AD39" s="28">
        <v>1</v>
      </c>
      <c r="AE39" s="27">
        <v>1E-4</v>
      </c>
      <c r="AF39" s="27">
        <v>1E-4</v>
      </c>
      <c r="AG39" s="22" t="s">
        <v>132</v>
      </c>
      <c r="AH39" s="22" t="s">
        <v>240</v>
      </c>
      <c r="AI39" s="22">
        <v>219</v>
      </c>
    </row>
    <row r="40" spans="2:35" x14ac:dyDescent="0.15">
      <c r="B40" s="16">
        <v>120</v>
      </c>
      <c r="C40" s="34" t="s">
        <v>222</v>
      </c>
      <c r="D40" s="16">
        <v>2</v>
      </c>
      <c r="E40" s="24">
        <f t="shared" si="1"/>
        <v>1</v>
      </c>
      <c r="F40" s="18">
        <v>10000</v>
      </c>
      <c r="G40" s="18">
        <v>10000</v>
      </c>
      <c r="H40">
        <f t="shared" si="0"/>
        <v>4</v>
      </c>
      <c r="I40" s="19">
        <v>12800</v>
      </c>
      <c r="J40" s="19">
        <v>1616</v>
      </c>
      <c r="K40" s="19">
        <v>960</v>
      </c>
      <c r="L40" s="19">
        <v>960</v>
      </c>
      <c r="M40" s="19">
        <v>60</v>
      </c>
      <c r="N40" s="20">
        <v>86</v>
      </c>
      <c r="O40" s="20">
        <v>51</v>
      </c>
      <c r="P40" s="20">
        <v>51</v>
      </c>
      <c r="Q40" s="20">
        <v>679</v>
      </c>
      <c r="R40" s="27">
        <v>1E-4</v>
      </c>
      <c r="S40" s="27">
        <v>1E-4</v>
      </c>
      <c r="T40" s="27">
        <v>1E-4</v>
      </c>
      <c r="U40" s="27">
        <v>1E-4</v>
      </c>
      <c r="V40" s="27">
        <v>1E-4</v>
      </c>
      <c r="W40" s="27">
        <v>1E-4</v>
      </c>
      <c r="X40" s="27">
        <v>1E-4</v>
      </c>
      <c r="Y40" s="27">
        <v>1E-4</v>
      </c>
      <c r="Z40" s="27">
        <v>1E-4</v>
      </c>
      <c r="AA40" s="27">
        <v>1E-4</v>
      </c>
      <c r="AB40" s="27">
        <v>1E-4</v>
      </c>
      <c r="AC40" s="28">
        <v>1</v>
      </c>
      <c r="AD40" s="28">
        <v>1</v>
      </c>
      <c r="AE40" s="27">
        <v>1E-4</v>
      </c>
      <c r="AF40" s="27">
        <v>1E-4</v>
      </c>
      <c r="AG40" s="22" t="s">
        <v>132</v>
      </c>
      <c r="AH40" s="22" t="s">
        <v>240</v>
      </c>
      <c r="AI40" s="22">
        <v>220</v>
      </c>
    </row>
    <row r="41" spans="2:35" x14ac:dyDescent="0.15">
      <c r="B41" s="16">
        <v>121</v>
      </c>
      <c r="C41" s="34" t="s">
        <v>223</v>
      </c>
      <c r="D41" s="16">
        <v>2</v>
      </c>
      <c r="E41" s="24">
        <f t="shared" si="1"/>
        <v>2</v>
      </c>
      <c r="F41" s="18">
        <v>10000</v>
      </c>
      <c r="G41" s="18">
        <v>10000</v>
      </c>
      <c r="H41">
        <f t="shared" si="0"/>
        <v>1</v>
      </c>
      <c r="I41" s="19">
        <v>12800</v>
      </c>
      <c r="J41" s="19">
        <v>1616</v>
      </c>
      <c r="K41" s="19">
        <v>960</v>
      </c>
      <c r="L41" s="19">
        <v>960</v>
      </c>
      <c r="M41" s="19">
        <v>60</v>
      </c>
      <c r="N41" s="20">
        <v>86</v>
      </c>
      <c r="O41" s="20">
        <v>51</v>
      </c>
      <c r="P41" s="20">
        <v>51</v>
      </c>
      <c r="Q41" s="20">
        <v>679</v>
      </c>
      <c r="R41" s="27">
        <v>1E-4</v>
      </c>
      <c r="S41" s="27">
        <v>1E-4</v>
      </c>
      <c r="T41" s="27">
        <v>1E-4</v>
      </c>
      <c r="U41" s="27">
        <v>1E-4</v>
      </c>
      <c r="V41" s="27">
        <v>1E-4</v>
      </c>
      <c r="W41" s="27">
        <v>1E-4</v>
      </c>
      <c r="X41" s="27">
        <v>1E-4</v>
      </c>
      <c r="Y41" s="27">
        <v>1E-4</v>
      </c>
      <c r="Z41" s="27">
        <v>1E-4</v>
      </c>
      <c r="AA41" s="27">
        <v>1E-4</v>
      </c>
      <c r="AB41" s="27">
        <v>1E-4</v>
      </c>
      <c r="AC41" s="28">
        <v>1</v>
      </c>
      <c r="AD41" s="28">
        <v>1</v>
      </c>
      <c r="AE41" s="27">
        <v>1E-4</v>
      </c>
      <c r="AF41" s="27">
        <v>1E-4</v>
      </c>
      <c r="AG41" s="22" t="s">
        <v>132</v>
      </c>
      <c r="AH41" s="22" t="s">
        <v>240</v>
      </c>
      <c r="AI41" s="22">
        <v>221</v>
      </c>
    </row>
    <row r="42" spans="2:35" x14ac:dyDescent="0.15">
      <c r="B42" s="16">
        <v>122</v>
      </c>
      <c r="C42" s="34" t="s">
        <v>224</v>
      </c>
      <c r="D42" s="16">
        <v>2</v>
      </c>
      <c r="E42" s="24">
        <f t="shared" si="1"/>
        <v>1</v>
      </c>
      <c r="F42" s="18">
        <v>10000</v>
      </c>
      <c r="G42" s="18">
        <v>10000</v>
      </c>
      <c r="H42">
        <f t="shared" si="0"/>
        <v>2</v>
      </c>
      <c r="I42" s="19">
        <v>12800</v>
      </c>
      <c r="J42" s="19">
        <v>1616</v>
      </c>
      <c r="K42" s="19">
        <v>960</v>
      </c>
      <c r="L42" s="19">
        <v>960</v>
      </c>
      <c r="M42" s="19">
        <v>60</v>
      </c>
      <c r="N42" s="20">
        <v>86</v>
      </c>
      <c r="O42" s="20">
        <v>51</v>
      </c>
      <c r="P42" s="20">
        <v>51</v>
      </c>
      <c r="Q42" s="20">
        <v>679</v>
      </c>
      <c r="R42" s="27">
        <v>1E-4</v>
      </c>
      <c r="S42" s="27">
        <v>1E-4</v>
      </c>
      <c r="T42" s="27">
        <v>1E-4</v>
      </c>
      <c r="U42" s="27">
        <v>1E-4</v>
      </c>
      <c r="V42" s="27">
        <v>1E-4</v>
      </c>
      <c r="W42" s="27">
        <v>1E-4</v>
      </c>
      <c r="X42" s="27">
        <v>1E-4</v>
      </c>
      <c r="Y42" s="27">
        <v>1E-4</v>
      </c>
      <c r="Z42" s="27">
        <v>1E-4</v>
      </c>
      <c r="AA42" s="27">
        <v>1E-4</v>
      </c>
      <c r="AB42" s="27">
        <v>1E-4</v>
      </c>
      <c r="AC42" s="28">
        <v>1</v>
      </c>
      <c r="AD42" s="28">
        <v>1</v>
      </c>
      <c r="AE42" s="27">
        <v>1E-4</v>
      </c>
      <c r="AF42" s="27">
        <v>1E-4</v>
      </c>
      <c r="AG42" s="22" t="s">
        <v>132</v>
      </c>
      <c r="AH42" s="22" t="s">
        <v>240</v>
      </c>
      <c r="AI42" s="22">
        <v>222</v>
      </c>
    </row>
    <row r="43" spans="2:35" x14ac:dyDescent="0.15">
      <c r="B43" s="16">
        <v>123</v>
      </c>
      <c r="C43" s="34" t="s">
        <v>225</v>
      </c>
      <c r="D43" s="16">
        <v>2</v>
      </c>
      <c r="E43" s="24">
        <f t="shared" si="1"/>
        <v>2</v>
      </c>
      <c r="F43" s="18">
        <v>10000</v>
      </c>
      <c r="G43" s="18">
        <v>10000</v>
      </c>
      <c r="H43">
        <f t="shared" si="0"/>
        <v>3</v>
      </c>
      <c r="I43" s="19">
        <v>12800</v>
      </c>
      <c r="J43" s="19">
        <v>1616</v>
      </c>
      <c r="K43" s="19">
        <v>960</v>
      </c>
      <c r="L43" s="19">
        <v>960</v>
      </c>
      <c r="M43" s="19">
        <v>60</v>
      </c>
      <c r="N43" s="20">
        <v>86</v>
      </c>
      <c r="O43" s="20">
        <v>51</v>
      </c>
      <c r="P43" s="20">
        <v>51</v>
      </c>
      <c r="Q43" s="20">
        <v>679</v>
      </c>
      <c r="R43" s="27">
        <v>1E-4</v>
      </c>
      <c r="S43" s="27">
        <v>1E-4</v>
      </c>
      <c r="T43" s="27">
        <v>1E-4</v>
      </c>
      <c r="U43" s="27">
        <v>1E-4</v>
      </c>
      <c r="V43" s="27">
        <v>1E-4</v>
      </c>
      <c r="W43" s="27">
        <v>1E-4</v>
      </c>
      <c r="X43" s="27">
        <v>1E-4</v>
      </c>
      <c r="Y43" s="27">
        <v>1E-4</v>
      </c>
      <c r="Z43" s="27">
        <v>1E-4</v>
      </c>
      <c r="AA43" s="27">
        <v>1E-4</v>
      </c>
      <c r="AB43" s="27">
        <v>1E-4</v>
      </c>
      <c r="AC43" s="28">
        <v>1</v>
      </c>
      <c r="AD43" s="28">
        <v>1</v>
      </c>
      <c r="AE43" s="27">
        <v>1E-4</v>
      </c>
      <c r="AF43" s="27">
        <v>1E-4</v>
      </c>
      <c r="AG43" s="22" t="s">
        <v>132</v>
      </c>
      <c r="AH43" s="22" t="s">
        <v>240</v>
      </c>
      <c r="AI43" s="22">
        <v>223</v>
      </c>
    </row>
    <row r="44" spans="2:35" x14ac:dyDescent="0.15">
      <c r="B44" s="16">
        <v>124</v>
      </c>
      <c r="C44" s="34" t="s">
        <v>226</v>
      </c>
      <c r="D44" s="16">
        <v>2</v>
      </c>
      <c r="E44" s="24">
        <f t="shared" si="1"/>
        <v>1</v>
      </c>
      <c r="F44" s="18">
        <v>10000</v>
      </c>
      <c r="G44" s="18">
        <v>10000</v>
      </c>
      <c r="H44">
        <f t="shared" si="0"/>
        <v>4</v>
      </c>
      <c r="I44" s="19">
        <v>12800</v>
      </c>
      <c r="J44" s="19">
        <v>1616</v>
      </c>
      <c r="K44" s="19">
        <v>960</v>
      </c>
      <c r="L44" s="19">
        <v>960</v>
      </c>
      <c r="M44" s="19">
        <v>60</v>
      </c>
      <c r="N44" s="20">
        <v>86</v>
      </c>
      <c r="O44" s="20">
        <v>51</v>
      </c>
      <c r="P44" s="20">
        <v>51</v>
      </c>
      <c r="Q44" s="20">
        <v>679</v>
      </c>
      <c r="R44" s="27">
        <v>1E-4</v>
      </c>
      <c r="S44" s="27">
        <v>1E-4</v>
      </c>
      <c r="T44" s="27">
        <v>1E-4</v>
      </c>
      <c r="U44" s="27">
        <v>1E-4</v>
      </c>
      <c r="V44" s="27">
        <v>1E-4</v>
      </c>
      <c r="W44" s="27">
        <v>1E-4</v>
      </c>
      <c r="X44" s="27">
        <v>1E-4</v>
      </c>
      <c r="Y44" s="27">
        <v>1E-4</v>
      </c>
      <c r="Z44" s="27">
        <v>1E-4</v>
      </c>
      <c r="AA44" s="27">
        <v>1E-4</v>
      </c>
      <c r="AB44" s="27">
        <v>1E-4</v>
      </c>
      <c r="AC44" s="28">
        <v>1</v>
      </c>
      <c r="AD44" s="28">
        <v>1</v>
      </c>
      <c r="AE44" s="27">
        <v>1E-4</v>
      </c>
      <c r="AF44" s="27">
        <v>1E-4</v>
      </c>
      <c r="AG44" s="22" t="s">
        <v>132</v>
      </c>
      <c r="AH44" s="22" t="s">
        <v>240</v>
      </c>
      <c r="AI44" s="22">
        <v>224</v>
      </c>
    </row>
    <row r="45" spans="2:35" x14ac:dyDescent="0.15">
      <c r="B45" s="16">
        <v>125</v>
      </c>
      <c r="C45" s="34" t="s">
        <v>227</v>
      </c>
      <c r="D45" s="16">
        <v>2</v>
      </c>
      <c r="E45" s="24">
        <f t="shared" si="1"/>
        <v>2</v>
      </c>
      <c r="F45" s="18">
        <v>10000</v>
      </c>
      <c r="G45" s="18">
        <v>10000</v>
      </c>
      <c r="H45">
        <f t="shared" si="0"/>
        <v>1</v>
      </c>
      <c r="I45" s="19">
        <v>12800</v>
      </c>
      <c r="J45" s="19">
        <v>1616</v>
      </c>
      <c r="K45" s="19">
        <v>960</v>
      </c>
      <c r="L45" s="19">
        <v>960</v>
      </c>
      <c r="M45" s="19">
        <v>60</v>
      </c>
      <c r="N45" s="20">
        <v>86</v>
      </c>
      <c r="O45" s="20">
        <v>51</v>
      </c>
      <c r="P45" s="20">
        <v>51</v>
      </c>
      <c r="Q45" s="20">
        <v>679</v>
      </c>
      <c r="R45" s="27">
        <v>1E-4</v>
      </c>
      <c r="S45" s="27">
        <v>1E-4</v>
      </c>
      <c r="T45" s="27">
        <v>1E-4</v>
      </c>
      <c r="U45" s="27">
        <v>1E-4</v>
      </c>
      <c r="V45" s="27">
        <v>1E-4</v>
      </c>
      <c r="W45" s="27">
        <v>1E-4</v>
      </c>
      <c r="X45" s="27">
        <v>1E-4</v>
      </c>
      <c r="Y45" s="27">
        <v>1E-4</v>
      </c>
      <c r="Z45" s="27">
        <v>1E-4</v>
      </c>
      <c r="AA45" s="27">
        <v>1E-4</v>
      </c>
      <c r="AB45" s="27">
        <v>1E-4</v>
      </c>
      <c r="AC45" s="28">
        <v>1</v>
      </c>
      <c r="AD45" s="28">
        <v>1</v>
      </c>
      <c r="AE45" s="27">
        <v>1E-4</v>
      </c>
      <c r="AF45" s="27">
        <v>1E-4</v>
      </c>
      <c r="AG45" s="22" t="s">
        <v>132</v>
      </c>
      <c r="AH45" s="22" t="s">
        <v>240</v>
      </c>
      <c r="AI45" s="22">
        <v>225</v>
      </c>
    </row>
    <row r="46" spans="2:35" x14ac:dyDescent="0.15">
      <c r="B46" s="16">
        <v>126</v>
      </c>
      <c r="C46" s="34" t="s">
        <v>228</v>
      </c>
      <c r="D46" s="16">
        <v>2</v>
      </c>
      <c r="E46" s="24">
        <f t="shared" si="1"/>
        <v>1</v>
      </c>
      <c r="F46" s="18">
        <v>10000</v>
      </c>
      <c r="G46" s="18">
        <v>10000</v>
      </c>
      <c r="H46">
        <f t="shared" si="0"/>
        <v>2</v>
      </c>
      <c r="I46" s="19">
        <v>12800</v>
      </c>
      <c r="J46" s="19">
        <v>1616</v>
      </c>
      <c r="K46" s="19">
        <v>960</v>
      </c>
      <c r="L46" s="19">
        <v>960</v>
      </c>
      <c r="M46" s="19">
        <v>60</v>
      </c>
      <c r="N46" s="20">
        <v>86</v>
      </c>
      <c r="O46" s="20">
        <v>51</v>
      </c>
      <c r="P46" s="20">
        <v>51</v>
      </c>
      <c r="Q46" s="20">
        <v>679</v>
      </c>
      <c r="R46" s="27">
        <v>1E-4</v>
      </c>
      <c r="S46" s="27">
        <v>1E-4</v>
      </c>
      <c r="T46" s="27">
        <v>1E-4</v>
      </c>
      <c r="U46" s="27">
        <v>1E-4</v>
      </c>
      <c r="V46" s="27">
        <v>1E-4</v>
      </c>
      <c r="W46" s="27">
        <v>1E-4</v>
      </c>
      <c r="X46" s="27">
        <v>1E-4</v>
      </c>
      <c r="Y46" s="27">
        <v>1E-4</v>
      </c>
      <c r="Z46" s="27">
        <v>1E-4</v>
      </c>
      <c r="AA46" s="27">
        <v>1E-4</v>
      </c>
      <c r="AB46" s="27">
        <v>1E-4</v>
      </c>
      <c r="AC46" s="28">
        <v>1</v>
      </c>
      <c r="AD46" s="28">
        <v>1</v>
      </c>
      <c r="AE46" s="27">
        <v>1E-4</v>
      </c>
      <c r="AF46" s="27">
        <v>1E-4</v>
      </c>
      <c r="AG46" s="22" t="s">
        <v>132</v>
      </c>
      <c r="AH46" s="22" t="s">
        <v>240</v>
      </c>
      <c r="AI46" s="22">
        <v>226</v>
      </c>
    </row>
    <row r="47" spans="2:35" x14ac:dyDescent="0.15">
      <c r="B47" s="16">
        <v>127</v>
      </c>
      <c r="C47" s="34" t="s">
        <v>229</v>
      </c>
      <c r="D47" s="16">
        <v>2</v>
      </c>
      <c r="E47" s="24">
        <f t="shared" si="1"/>
        <v>2</v>
      </c>
      <c r="F47" s="18">
        <v>10000</v>
      </c>
      <c r="G47" s="18">
        <v>10000</v>
      </c>
      <c r="H47">
        <f t="shared" si="0"/>
        <v>3</v>
      </c>
      <c r="I47" s="19">
        <v>12800</v>
      </c>
      <c r="J47" s="19">
        <v>1616</v>
      </c>
      <c r="K47" s="19">
        <v>960</v>
      </c>
      <c r="L47" s="19">
        <v>960</v>
      </c>
      <c r="M47" s="19">
        <v>60</v>
      </c>
      <c r="N47" s="20">
        <v>86</v>
      </c>
      <c r="O47" s="20">
        <v>51</v>
      </c>
      <c r="P47" s="20">
        <v>51</v>
      </c>
      <c r="Q47" s="20">
        <v>679</v>
      </c>
      <c r="R47" s="27">
        <v>1E-4</v>
      </c>
      <c r="S47" s="27">
        <v>1E-4</v>
      </c>
      <c r="T47" s="27">
        <v>1E-4</v>
      </c>
      <c r="U47" s="27">
        <v>1E-4</v>
      </c>
      <c r="V47" s="27">
        <v>1E-4</v>
      </c>
      <c r="W47" s="27">
        <v>1E-4</v>
      </c>
      <c r="X47" s="27">
        <v>1E-4</v>
      </c>
      <c r="Y47" s="27">
        <v>1E-4</v>
      </c>
      <c r="Z47" s="27">
        <v>1E-4</v>
      </c>
      <c r="AA47" s="27">
        <v>1E-4</v>
      </c>
      <c r="AB47" s="27">
        <v>1E-4</v>
      </c>
      <c r="AC47" s="28">
        <v>1</v>
      </c>
      <c r="AD47" s="28">
        <v>1</v>
      </c>
      <c r="AE47" s="27">
        <v>1E-4</v>
      </c>
      <c r="AF47" s="27">
        <v>1E-4</v>
      </c>
      <c r="AG47" s="22" t="s">
        <v>132</v>
      </c>
      <c r="AH47" s="22" t="s">
        <v>240</v>
      </c>
      <c r="AI47" s="22">
        <v>227</v>
      </c>
    </row>
    <row r="48" spans="2:35" x14ac:dyDescent="0.15">
      <c r="B48" s="16">
        <v>128</v>
      </c>
      <c r="C48" s="34" t="s">
        <v>230</v>
      </c>
      <c r="D48" s="16">
        <v>2</v>
      </c>
      <c r="E48" s="24">
        <f t="shared" si="1"/>
        <v>1</v>
      </c>
      <c r="F48" s="18">
        <v>10000</v>
      </c>
      <c r="G48" s="18">
        <v>10000</v>
      </c>
      <c r="H48">
        <f t="shared" si="0"/>
        <v>4</v>
      </c>
      <c r="I48" s="19">
        <v>12800</v>
      </c>
      <c r="J48" s="19">
        <v>1616</v>
      </c>
      <c r="K48" s="19">
        <v>960</v>
      </c>
      <c r="L48" s="19">
        <v>960</v>
      </c>
      <c r="M48" s="19">
        <v>60</v>
      </c>
      <c r="N48" s="20">
        <v>86</v>
      </c>
      <c r="O48" s="20">
        <v>51</v>
      </c>
      <c r="P48" s="20">
        <v>51</v>
      </c>
      <c r="Q48" s="20">
        <v>679</v>
      </c>
      <c r="R48" s="27">
        <v>1E-4</v>
      </c>
      <c r="S48" s="27">
        <v>1E-4</v>
      </c>
      <c r="T48" s="27">
        <v>1E-4</v>
      </c>
      <c r="U48" s="27">
        <v>1E-4</v>
      </c>
      <c r="V48" s="27">
        <v>1E-4</v>
      </c>
      <c r="W48" s="27">
        <v>1E-4</v>
      </c>
      <c r="X48" s="27">
        <v>1E-4</v>
      </c>
      <c r="Y48" s="27">
        <v>1E-4</v>
      </c>
      <c r="Z48" s="27">
        <v>1E-4</v>
      </c>
      <c r="AA48" s="27">
        <v>1E-4</v>
      </c>
      <c r="AB48" s="27">
        <v>1E-4</v>
      </c>
      <c r="AC48" s="28">
        <v>1</v>
      </c>
      <c r="AD48" s="28">
        <v>1</v>
      </c>
      <c r="AE48" s="27">
        <v>1E-4</v>
      </c>
      <c r="AF48" s="27">
        <v>1E-4</v>
      </c>
      <c r="AG48" s="22" t="s">
        <v>132</v>
      </c>
      <c r="AH48" s="22" t="s">
        <v>240</v>
      </c>
      <c r="AI48" s="22">
        <v>228</v>
      </c>
    </row>
    <row r="49" spans="2:35" x14ac:dyDescent="0.15">
      <c r="B49" s="16">
        <v>129</v>
      </c>
      <c r="C49" s="34" t="s">
        <v>231</v>
      </c>
      <c r="D49" s="16">
        <v>2</v>
      </c>
      <c r="E49" s="24">
        <f t="shared" si="1"/>
        <v>2</v>
      </c>
      <c r="F49" s="18">
        <v>10000</v>
      </c>
      <c r="G49" s="18">
        <v>10000</v>
      </c>
      <c r="H49">
        <f t="shared" si="0"/>
        <v>1</v>
      </c>
      <c r="I49" s="19">
        <v>12800</v>
      </c>
      <c r="J49" s="19">
        <v>1616</v>
      </c>
      <c r="K49" s="19">
        <v>960</v>
      </c>
      <c r="L49" s="19">
        <v>960</v>
      </c>
      <c r="M49" s="19">
        <v>60</v>
      </c>
      <c r="N49" s="20">
        <v>86</v>
      </c>
      <c r="O49" s="20">
        <v>51</v>
      </c>
      <c r="P49" s="20">
        <v>51</v>
      </c>
      <c r="Q49" s="20">
        <v>679</v>
      </c>
      <c r="R49" s="27">
        <v>1E-4</v>
      </c>
      <c r="S49" s="27">
        <v>1E-4</v>
      </c>
      <c r="T49" s="27">
        <v>1E-4</v>
      </c>
      <c r="U49" s="27">
        <v>1E-4</v>
      </c>
      <c r="V49" s="27">
        <v>1E-4</v>
      </c>
      <c r="W49" s="27">
        <v>1E-4</v>
      </c>
      <c r="X49" s="27">
        <v>1E-4</v>
      </c>
      <c r="Y49" s="27">
        <v>1E-4</v>
      </c>
      <c r="Z49" s="27">
        <v>1E-4</v>
      </c>
      <c r="AA49" s="27">
        <v>1E-4</v>
      </c>
      <c r="AB49" s="27">
        <v>1E-4</v>
      </c>
      <c r="AC49" s="28">
        <v>1</v>
      </c>
      <c r="AD49" s="28">
        <v>1</v>
      </c>
      <c r="AE49" s="27">
        <v>1E-4</v>
      </c>
      <c r="AF49" s="27">
        <v>1E-4</v>
      </c>
      <c r="AG49" s="22" t="s">
        <v>132</v>
      </c>
      <c r="AH49" s="22" t="s">
        <v>240</v>
      </c>
      <c r="AI49" s="22">
        <v>229</v>
      </c>
    </row>
  </sheetData>
  <phoneticPr fontId="2" type="noConversion"/>
  <pageMargins left="0.7" right="0.7" top="0.75" bottom="0.75" header="0.3" footer="0.3"/>
  <pageSetup paperSize="9" orientation="portrait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"/>
  <sheetViews>
    <sheetView workbookViewId="0">
      <selection activeCell="C33" sqref="C33"/>
    </sheetView>
  </sheetViews>
  <sheetFormatPr defaultRowHeight="13.5" x14ac:dyDescent="0.15"/>
  <cols>
    <col min="3" max="3" width="32.625" customWidth="1"/>
    <col min="4" max="4" width="23.5" customWidth="1"/>
    <col min="5" max="5" width="18.375" customWidth="1"/>
    <col min="6" max="6" width="21.625" customWidth="1"/>
    <col min="7" max="7" width="16.875" customWidth="1"/>
    <col min="8" max="8" width="23.5" customWidth="1"/>
    <col min="9" max="9" width="23.375" customWidth="1"/>
    <col min="10" max="10" width="13.125" customWidth="1"/>
  </cols>
  <sheetData>
    <row r="1" spans="1:35" s="2" customFormat="1" x14ac:dyDescent="0.15">
      <c r="A1" s="35" t="s">
        <v>0</v>
      </c>
      <c r="B1" s="36"/>
      <c r="C1" s="36"/>
      <c r="D1" s="32"/>
      <c r="E1" s="1"/>
    </row>
    <row r="2" spans="1:35" s="2" customFormat="1" x14ac:dyDescent="0.15">
      <c r="A2" s="35" t="s">
        <v>1</v>
      </c>
      <c r="B2" s="36"/>
      <c r="C2" s="36"/>
      <c r="D2" s="32"/>
      <c r="E2" s="3"/>
    </row>
    <row r="3" spans="1:35" s="2" customFormat="1" x14ac:dyDescent="0.15">
      <c r="A3" s="4" t="s">
        <v>2</v>
      </c>
      <c r="B3" s="37"/>
      <c r="C3" s="37"/>
      <c r="D3" s="37"/>
      <c r="E3" s="37"/>
    </row>
    <row r="4" spans="1:35" s="2" customFormat="1" ht="101.25" customHeight="1" x14ac:dyDescent="0.15">
      <c r="A4" s="5" t="s">
        <v>3</v>
      </c>
      <c r="B4" s="9" t="s">
        <v>138</v>
      </c>
      <c r="C4" s="9" t="s">
        <v>139</v>
      </c>
      <c r="D4" s="9" t="s">
        <v>140</v>
      </c>
      <c r="E4" s="9" t="s">
        <v>235</v>
      </c>
      <c r="F4" s="9" t="s">
        <v>141</v>
      </c>
      <c r="G4" s="9" t="s">
        <v>142</v>
      </c>
      <c r="H4" s="9" t="s">
        <v>143</v>
      </c>
      <c r="I4" s="9" t="s">
        <v>144</v>
      </c>
      <c r="J4" s="9" t="s">
        <v>160</v>
      </c>
    </row>
    <row r="5" spans="1:35" s="2" customFormat="1" x14ac:dyDescent="0.15">
      <c r="A5" s="8" t="s">
        <v>10</v>
      </c>
      <c r="B5" s="9" t="s">
        <v>11</v>
      </c>
      <c r="C5" s="9" t="s">
        <v>12</v>
      </c>
      <c r="D5" s="9"/>
      <c r="E5" s="9"/>
      <c r="F5" s="9" t="s">
        <v>12</v>
      </c>
      <c r="G5" s="9"/>
      <c r="H5" s="9"/>
      <c r="I5" s="9"/>
      <c r="J5" s="9"/>
    </row>
    <row r="6" spans="1:35" s="2" customFormat="1" x14ac:dyDescent="0.15">
      <c r="A6" s="10" t="s">
        <v>13</v>
      </c>
      <c r="B6" s="9" t="s">
        <v>11</v>
      </c>
      <c r="C6" s="9" t="s">
        <v>12</v>
      </c>
      <c r="D6" s="9"/>
      <c r="E6" s="9"/>
      <c r="F6" s="9" t="s">
        <v>12</v>
      </c>
      <c r="G6" s="9"/>
      <c r="H6" s="9"/>
      <c r="I6" s="9"/>
      <c r="J6" s="9"/>
    </row>
    <row r="7" spans="1:35" s="2" customFormat="1" x14ac:dyDescent="0.15">
      <c r="A7" s="8" t="s">
        <v>14</v>
      </c>
      <c r="B7" s="9" t="s">
        <v>11</v>
      </c>
      <c r="C7" s="9" t="s">
        <v>11</v>
      </c>
      <c r="D7" s="9"/>
      <c r="E7" s="9"/>
      <c r="F7" s="9"/>
      <c r="G7" s="9"/>
      <c r="H7" s="9"/>
      <c r="I7" s="9"/>
      <c r="J7" s="9"/>
    </row>
    <row r="8" spans="1:35" s="2" customFormat="1" x14ac:dyDescent="0.15">
      <c r="A8" s="10" t="s">
        <v>15</v>
      </c>
      <c r="B8" s="9"/>
      <c r="C8" s="9"/>
      <c r="D8" s="9"/>
      <c r="E8" s="9"/>
      <c r="F8" s="9"/>
      <c r="G8" s="9"/>
      <c r="H8" s="9"/>
      <c r="I8" s="9"/>
      <c r="J8" s="9"/>
    </row>
    <row r="9" spans="1:35" s="2" customFormat="1" x14ac:dyDescent="0.15">
      <c r="A9" s="8" t="s">
        <v>17</v>
      </c>
      <c r="B9" s="9" t="s">
        <v>18</v>
      </c>
      <c r="C9" s="9" t="s">
        <v>152</v>
      </c>
      <c r="D9" s="9" t="s">
        <v>153</v>
      </c>
      <c r="E9" s="9" t="s">
        <v>154</v>
      </c>
      <c r="F9" s="9" t="s">
        <v>155</v>
      </c>
      <c r="G9" s="9" t="s">
        <v>156</v>
      </c>
      <c r="H9" s="9" t="s">
        <v>157</v>
      </c>
      <c r="I9" s="9" t="s">
        <v>159</v>
      </c>
      <c r="J9" s="9" t="s">
        <v>202</v>
      </c>
    </row>
    <row r="10" spans="1:35" s="2" customFormat="1" x14ac:dyDescent="0.15">
      <c r="A10" s="10" t="s">
        <v>24</v>
      </c>
      <c r="B10" s="9" t="s">
        <v>25</v>
      </c>
      <c r="C10" s="9" t="s">
        <v>150</v>
      </c>
      <c r="D10" s="9" t="s">
        <v>150</v>
      </c>
      <c r="E10" s="9" t="s">
        <v>150</v>
      </c>
      <c r="F10" s="9" t="s">
        <v>150</v>
      </c>
      <c r="G10" s="9" t="s">
        <v>26</v>
      </c>
      <c r="H10" s="9" t="s">
        <v>26</v>
      </c>
      <c r="I10" s="9" t="s">
        <v>145</v>
      </c>
      <c r="J10" s="9" t="s">
        <v>151</v>
      </c>
    </row>
    <row r="11" spans="1:35" s="2" customFormat="1" x14ac:dyDescent="0.15">
      <c r="A11" s="8" t="s">
        <v>27</v>
      </c>
      <c r="B11" s="9" t="s">
        <v>28</v>
      </c>
      <c r="C11" s="9" t="s">
        <v>149</v>
      </c>
      <c r="D11" s="9" t="s">
        <v>28</v>
      </c>
      <c r="E11" s="9" t="s">
        <v>28</v>
      </c>
      <c r="F11" s="9" t="s">
        <v>28</v>
      </c>
      <c r="G11" s="9" t="s">
        <v>148</v>
      </c>
      <c r="H11" s="9" t="s">
        <v>148</v>
      </c>
      <c r="I11" s="9" t="s">
        <v>148</v>
      </c>
      <c r="J11" s="9" t="s">
        <v>148</v>
      </c>
    </row>
    <row r="12" spans="1:35" s="15" customFormat="1" x14ac:dyDescent="0.15">
      <c r="A12" s="18" t="s">
        <v>232</v>
      </c>
      <c r="B12" s="18" t="s">
        <v>234</v>
      </c>
      <c r="C12" s="18" t="s">
        <v>233</v>
      </c>
      <c r="D12" s="18"/>
      <c r="E12" s="18"/>
      <c r="F12" s="18"/>
      <c r="G12" s="18"/>
      <c r="H12" s="18"/>
      <c r="I12" s="19"/>
      <c r="J12" s="19"/>
      <c r="K12" s="19"/>
      <c r="L12" s="19"/>
      <c r="M12" s="19"/>
      <c r="N12" s="20"/>
      <c r="O12" s="20"/>
      <c r="P12" s="20"/>
      <c r="Q12" s="20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2"/>
      <c r="AH12" s="22"/>
      <c r="AI12" s="22"/>
    </row>
    <row r="13" spans="1:35" x14ac:dyDescent="0.15">
      <c r="A13" s="11"/>
      <c r="B13">
        <v>1</v>
      </c>
      <c r="C13" s="33" t="s">
        <v>236</v>
      </c>
      <c r="D13" s="2" t="s">
        <v>161</v>
      </c>
      <c r="E13" s="33" t="s">
        <v>237</v>
      </c>
      <c r="F13" s="33" t="s">
        <v>238</v>
      </c>
      <c r="G13" s="33" t="s">
        <v>239</v>
      </c>
      <c r="H13" s="33" t="s">
        <v>180</v>
      </c>
      <c r="I13" s="33" t="s">
        <v>197</v>
      </c>
      <c r="J13" s="33">
        <v>1</v>
      </c>
    </row>
    <row r="14" spans="1:35" x14ac:dyDescent="0.15">
      <c r="B14">
        <v>2</v>
      </c>
      <c r="C14" s="33" t="s">
        <v>236</v>
      </c>
      <c r="D14" s="2" t="s">
        <v>162</v>
      </c>
      <c r="E14" s="33" t="s">
        <v>237</v>
      </c>
      <c r="F14" s="33" t="s">
        <v>238</v>
      </c>
      <c r="G14" s="33" t="s">
        <v>239</v>
      </c>
      <c r="H14" s="33" t="s">
        <v>184</v>
      </c>
      <c r="I14" s="33" t="s">
        <v>197</v>
      </c>
      <c r="J14" s="33">
        <v>10</v>
      </c>
    </row>
    <row r="15" spans="1:35" x14ac:dyDescent="0.15">
      <c r="B15">
        <v>3</v>
      </c>
      <c r="C15" s="33" t="s">
        <v>236</v>
      </c>
      <c r="D15" s="2" t="s">
        <v>163</v>
      </c>
      <c r="E15" s="33" t="s">
        <v>237</v>
      </c>
      <c r="F15" s="33" t="s">
        <v>238</v>
      </c>
      <c r="G15" s="33" t="s">
        <v>239</v>
      </c>
      <c r="H15" s="33" t="s">
        <v>185</v>
      </c>
      <c r="I15" s="33" t="s">
        <v>176</v>
      </c>
      <c r="J15" s="33">
        <v>16</v>
      </c>
    </row>
    <row r="16" spans="1:35" x14ac:dyDescent="0.15">
      <c r="B16">
        <v>4</v>
      </c>
      <c r="C16" s="33" t="s">
        <v>236</v>
      </c>
      <c r="D16" s="2" t="s">
        <v>164</v>
      </c>
      <c r="E16" s="33" t="s">
        <v>237</v>
      </c>
      <c r="F16" s="33" t="s">
        <v>238</v>
      </c>
      <c r="G16" s="33" t="s">
        <v>239</v>
      </c>
      <c r="H16" s="33" t="s">
        <v>186</v>
      </c>
      <c r="I16" s="33" t="s">
        <v>177</v>
      </c>
      <c r="J16" s="33">
        <v>22</v>
      </c>
    </row>
    <row r="17" spans="2:10" x14ac:dyDescent="0.15">
      <c r="B17">
        <v>5</v>
      </c>
      <c r="C17" s="33" t="s">
        <v>236</v>
      </c>
      <c r="D17" s="2" t="s">
        <v>165</v>
      </c>
      <c r="E17" s="33" t="s">
        <v>237</v>
      </c>
      <c r="F17" s="33" t="s">
        <v>238</v>
      </c>
      <c r="G17" s="33" t="s">
        <v>239</v>
      </c>
      <c r="H17" s="33" t="s">
        <v>187</v>
      </c>
      <c r="I17" s="33" t="s">
        <v>178</v>
      </c>
      <c r="J17" s="33">
        <v>28</v>
      </c>
    </row>
    <row r="18" spans="2:10" x14ac:dyDescent="0.15">
      <c r="B18">
        <v>6</v>
      </c>
      <c r="C18" s="33" t="s">
        <v>236</v>
      </c>
      <c r="D18" s="2" t="s">
        <v>166</v>
      </c>
      <c r="E18" s="33" t="s">
        <v>237</v>
      </c>
      <c r="F18" s="33" t="s">
        <v>238</v>
      </c>
      <c r="G18" s="33" t="s">
        <v>239</v>
      </c>
      <c r="H18" s="33" t="s">
        <v>188</v>
      </c>
      <c r="I18" s="33" t="s">
        <v>179</v>
      </c>
      <c r="J18" s="33">
        <v>34</v>
      </c>
    </row>
    <row r="19" spans="2:10" x14ac:dyDescent="0.15">
      <c r="B19">
        <v>7</v>
      </c>
      <c r="C19" s="33" t="s">
        <v>236</v>
      </c>
      <c r="D19" s="2" t="s">
        <v>167</v>
      </c>
      <c r="E19" s="33" t="s">
        <v>237</v>
      </c>
      <c r="F19" s="33" t="s">
        <v>238</v>
      </c>
      <c r="G19" s="33" t="s">
        <v>239</v>
      </c>
      <c r="H19" s="33" t="s">
        <v>189</v>
      </c>
      <c r="I19" s="33" t="s">
        <v>181</v>
      </c>
      <c r="J19" s="33">
        <v>40</v>
      </c>
    </row>
    <row r="20" spans="2:10" x14ac:dyDescent="0.15">
      <c r="B20">
        <v>8</v>
      </c>
      <c r="C20" s="33" t="s">
        <v>236</v>
      </c>
      <c r="D20" s="2" t="s">
        <v>168</v>
      </c>
      <c r="E20" s="33" t="s">
        <v>237</v>
      </c>
      <c r="F20" s="33" t="s">
        <v>238</v>
      </c>
      <c r="G20" s="33" t="s">
        <v>239</v>
      </c>
      <c r="H20" s="33" t="s">
        <v>190</v>
      </c>
      <c r="I20" s="33" t="s">
        <v>182</v>
      </c>
      <c r="J20" s="33">
        <v>46</v>
      </c>
    </row>
    <row r="21" spans="2:10" x14ac:dyDescent="0.15">
      <c r="B21">
        <v>9</v>
      </c>
      <c r="C21" s="33" t="s">
        <v>236</v>
      </c>
      <c r="D21" s="2" t="s">
        <v>169</v>
      </c>
      <c r="E21" s="33" t="s">
        <v>237</v>
      </c>
      <c r="F21" s="33" t="s">
        <v>238</v>
      </c>
      <c r="G21" s="33" t="s">
        <v>239</v>
      </c>
      <c r="H21" s="33" t="s">
        <v>191</v>
      </c>
      <c r="I21" s="33" t="s">
        <v>183</v>
      </c>
      <c r="J21" s="33">
        <v>52</v>
      </c>
    </row>
    <row r="22" spans="2:10" x14ac:dyDescent="0.15">
      <c r="B22">
        <v>10</v>
      </c>
      <c r="C22" s="33" t="s">
        <v>236</v>
      </c>
      <c r="D22" s="2" t="s">
        <v>170</v>
      </c>
      <c r="E22" s="33" t="s">
        <v>237</v>
      </c>
      <c r="F22" s="33" t="s">
        <v>238</v>
      </c>
      <c r="G22" s="33" t="s">
        <v>239</v>
      </c>
      <c r="H22" s="33" t="s">
        <v>192</v>
      </c>
      <c r="I22" s="33" t="s">
        <v>184</v>
      </c>
      <c r="J22" s="33">
        <v>58</v>
      </c>
    </row>
    <row r="23" spans="2:10" x14ac:dyDescent="0.15">
      <c r="B23">
        <v>11</v>
      </c>
      <c r="C23" s="33" t="s">
        <v>236</v>
      </c>
      <c r="D23" s="2" t="s">
        <v>171</v>
      </c>
      <c r="E23" s="33" t="s">
        <v>237</v>
      </c>
      <c r="F23" s="33" t="s">
        <v>238</v>
      </c>
      <c r="G23" s="33" t="s">
        <v>239</v>
      </c>
      <c r="H23" s="33" t="s">
        <v>193</v>
      </c>
      <c r="I23" s="33" t="s">
        <v>198</v>
      </c>
      <c r="J23" s="33">
        <v>64</v>
      </c>
    </row>
    <row r="24" spans="2:10" x14ac:dyDescent="0.15">
      <c r="B24">
        <v>12</v>
      </c>
      <c r="C24" s="33" t="s">
        <v>236</v>
      </c>
      <c r="D24" s="2" t="s">
        <v>172</v>
      </c>
      <c r="E24" s="33" t="s">
        <v>237</v>
      </c>
      <c r="F24" s="33" t="s">
        <v>238</v>
      </c>
      <c r="G24" s="33" t="s">
        <v>239</v>
      </c>
      <c r="H24" s="33" t="s">
        <v>194</v>
      </c>
      <c r="I24" s="33" t="s">
        <v>199</v>
      </c>
      <c r="J24" s="33">
        <v>70</v>
      </c>
    </row>
    <row r="25" spans="2:10" x14ac:dyDescent="0.15">
      <c r="B25">
        <v>13</v>
      </c>
      <c r="C25" s="33" t="s">
        <v>236</v>
      </c>
      <c r="D25" s="2" t="s">
        <v>173</v>
      </c>
      <c r="E25" s="33" t="s">
        <v>237</v>
      </c>
      <c r="F25" s="33" t="s">
        <v>238</v>
      </c>
      <c r="G25" s="33" t="s">
        <v>239</v>
      </c>
      <c r="H25" s="33" t="s">
        <v>195</v>
      </c>
      <c r="I25" s="33" t="s">
        <v>200</v>
      </c>
      <c r="J25" s="33">
        <v>76</v>
      </c>
    </row>
    <row r="26" spans="2:10" x14ac:dyDescent="0.15">
      <c r="B26">
        <v>14</v>
      </c>
      <c r="C26" s="33" t="s">
        <v>236</v>
      </c>
      <c r="D26" s="2" t="s">
        <v>174</v>
      </c>
      <c r="E26" s="33" t="s">
        <v>237</v>
      </c>
      <c r="F26" s="33" t="s">
        <v>238</v>
      </c>
      <c r="G26" s="33" t="s">
        <v>239</v>
      </c>
      <c r="H26" s="33" t="s">
        <v>196</v>
      </c>
      <c r="I26" s="33" t="s">
        <v>201</v>
      </c>
      <c r="J26" s="33">
        <v>82</v>
      </c>
    </row>
    <row r="27" spans="2:10" x14ac:dyDescent="0.15">
      <c r="B27">
        <v>15</v>
      </c>
      <c r="C27" s="33" t="s">
        <v>236</v>
      </c>
      <c r="D27" s="2" t="s">
        <v>175</v>
      </c>
      <c r="E27" s="33" t="s">
        <v>237</v>
      </c>
      <c r="F27" s="33" t="s">
        <v>238</v>
      </c>
      <c r="G27" s="33" t="s">
        <v>239</v>
      </c>
      <c r="H27" s="33"/>
      <c r="I27" s="33"/>
      <c r="J27" s="33">
        <v>88</v>
      </c>
    </row>
  </sheetData>
  <mergeCells count="3">
    <mergeCell ref="A1:C1"/>
    <mergeCell ref="A2:C2"/>
    <mergeCell ref="B3:E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9:S10"/>
  <sheetViews>
    <sheetView workbookViewId="0">
      <selection activeCell="I29" sqref="I29"/>
    </sheetView>
  </sheetViews>
  <sheetFormatPr defaultColWidth="8.875" defaultRowHeight="13.5" x14ac:dyDescent="0.15"/>
  <sheetData>
    <row r="9" spans="5:19" x14ac:dyDescent="0.15">
      <c r="E9" s="25" t="s">
        <v>84</v>
      </c>
      <c r="F9" s="25" t="s">
        <v>85</v>
      </c>
      <c r="G9" s="25" t="s">
        <v>86</v>
      </c>
      <c r="H9" s="25" t="s">
        <v>87</v>
      </c>
      <c r="I9" s="25" t="s">
        <v>88</v>
      </c>
      <c r="J9" s="25" t="s">
        <v>89</v>
      </c>
      <c r="K9" s="25" t="s">
        <v>90</v>
      </c>
      <c r="L9" s="25" t="s">
        <v>91</v>
      </c>
      <c r="M9" s="25" t="s">
        <v>92</v>
      </c>
      <c r="N9" s="25" t="s">
        <v>93</v>
      </c>
      <c r="O9" s="25" t="s">
        <v>94</v>
      </c>
      <c r="P9" s="25" t="s">
        <v>97</v>
      </c>
      <c r="Q9" s="25" t="s">
        <v>98</v>
      </c>
      <c r="R9" s="25" t="s">
        <v>95</v>
      </c>
      <c r="S9" s="25" t="s">
        <v>96</v>
      </c>
    </row>
    <row r="10" spans="5:19" x14ac:dyDescent="0.15">
      <c r="E10" s="25" t="s">
        <v>99</v>
      </c>
      <c r="F10" s="25" t="s">
        <v>100</v>
      </c>
      <c r="G10" s="25" t="s">
        <v>101</v>
      </c>
      <c r="H10" s="25" t="s">
        <v>102</v>
      </c>
      <c r="I10" s="25" t="s">
        <v>65</v>
      </c>
      <c r="J10" s="25" t="s">
        <v>66</v>
      </c>
      <c r="K10" s="25" t="s">
        <v>67</v>
      </c>
      <c r="L10" s="25" t="s">
        <v>103</v>
      </c>
      <c r="M10" s="25" t="s">
        <v>104</v>
      </c>
      <c r="N10" s="25" t="s">
        <v>105</v>
      </c>
      <c r="O10" s="25" t="s">
        <v>106</v>
      </c>
      <c r="P10" s="25" t="s">
        <v>107</v>
      </c>
      <c r="Q10" s="25" t="s">
        <v>108</v>
      </c>
      <c r="R10" s="25" t="s">
        <v>109</v>
      </c>
      <c r="S10" s="25" t="s">
        <v>110</v>
      </c>
    </row>
  </sheetData>
  <phoneticPr fontId="2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主角升级表</vt:lpstr>
      <vt:lpstr>升级经验惩罚</vt:lpstr>
      <vt:lpstr>仆从属性表</vt:lpstr>
      <vt:lpstr>仆从升阶表</vt:lpstr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用户</cp:lastModifiedBy>
  <dcterms:created xsi:type="dcterms:W3CDTF">2017-10-23T07:26:09Z</dcterms:created>
  <dcterms:modified xsi:type="dcterms:W3CDTF">2017-12-18T08:18:01Z</dcterms:modified>
</cp:coreProperties>
</file>